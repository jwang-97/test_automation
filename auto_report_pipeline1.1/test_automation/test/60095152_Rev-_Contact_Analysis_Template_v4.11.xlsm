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ables/tableSingleCells1.xml" ContentType="application/vnd.openxmlformats-officedocument.spreadsheetml.tableSingleCell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lb001-my.sharepoint.com/personal/abarr_slb_com/Documents/!-Design Tools/Contact Analysis/"/>
    </mc:Choice>
  </mc:AlternateContent>
  <xr:revisionPtr revIDLastSave="3" documentId="11_6B87B38DAEB14BC121B98E00612CCF7BD884EC8D" xr6:coauthVersionLast="36" xr6:coauthVersionMax="36" xr10:uidLastSave="{F7BC8608-6EAA-4638-827D-41911AD16E1F}"/>
  <bookViews>
    <workbookView xWindow="18660" yWindow="-90" windowWidth="6480" windowHeight="12060" tabRatio="842" xr2:uid="{00000000-000D-0000-FFFF-FFFF00000000}"/>
  </bookViews>
  <sheets>
    <sheet name="Contact_Analysis_Form" sheetId="20" r:id="rId1"/>
    <sheet name="summary_doc~12345" sheetId="15" r:id="rId2"/>
    <sheet name="summary_doc~12345A00" sheetId="14" r:id="rId3"/>
    <sheet name="targets" sheetId="2" r:id="rId4"/>
    <sheet name="DoC" sheetId="24" r:id="rId5"/>
    <sheet name="Torque" sheetId="9" r:id="rId6"/>
    <sheet name="ROP" sheetId="8" r:id="rId7"/>
    <sheet name="VersionCheck" sheetId="26" r:id="rId8"/>
  </sheets>
  <definedNames>
    <definedName name="AverageROP">Contact_Analysis_Form!$B$10</definedName>
    <definedName name="AverageWOB">Contact_Analysis_Form!$B$11</definedName>
    <definedName name="Bend">Contact_Analysis_Form!$B$14</definedName>
    <definedName name="BitSize">Contact_Analysis_Form!$B$3</definedName>
    <definedName name="BitType">Contact_Analysis_Form!$B$4</definedName>
    <definedName name="BOM">Contact_Analysis_Form!$B$5</definedName>
    <definedName name="BottomHolePressure">Contact_Analysis_Form!$B$8</definedName>
    <definedName name="Depth">Contact_Analysis_Form!$B$6</definedName>
    <definedName name="Dir5D">'summary_doc~12345'!$L$1</definedName>
    <definedName name="Dir8D">'summary_doc~12345A00'!$L$1</definedName>
    <definedName name="DLS">Contact_Analysis_Form!$B$15</definedName>
    <definedName name="DoC">targets!$C$4</definedName>
    <definedName name="DOC5d">'summary_doc~12345'!$F$4:$F$24</definedName>
    <definedName name="DOC8d">'summary_doc~12345A00'!$F$4:$F$24</definedName>
    <definedName name="DOCMax">targets!$J$5</definedName>
    <definedName name="DOCMin">targets!$J$4</definedName>
    <definedName name="Info">Contact_Analysis_Form!$A$1</definedName>
    <definedName name="LatestVersion">VersionCheck!$B$1</definedName>
    <definedName name="MaxDOC5Dig">'summary_doc~12345'!$I$4</definedName>
    <definedName name="MaxDOC8Dig">'summary_doc~12345A00'!$I$4</definedName>
    <definedName name="MaximumROP">Contact_Analysis_Form!$B$12</definedName>
    <definedName name="MaxROP5Dig">'summary_doc~12345'!$I$2</definedName>
    <definedName name="MaxROP8Dig">'summary_doc~12345A00'!$I$2</definedName>
    <definedName name="MaxTq5Dig">'summary_doc~12345'!$I$1</definedName>
    <definedName name="MaxTq8Dig">'summary_doc~12345A00'!$I$1</definedName>
    <definedName name="MaxWOB5Dig">'summary_doc~12345'!$I$3</definedName>
    <definedName name="MaxWOB8Dig">'summary_doc~12345A00'!$I$3</definedName>
    <definedName name="MudWeight">Contact_Analysis_Form!$B$7</definedName>
    <definedName name="Name5d">Contact_Analysis_Form!$G$6</definedName>
    <definedName name="Name8d">Contact_Analysis_Form!$J$6</definedName>
    <definedName name="_xlnm.Print_Area" localSheetId="0">Contact_Analysis_Form!$A$2:$F$14</definedName>
    <definedName name="RockAnalyzed">Contact_Analysis_Form!$B$24</definedName>
    <definedName name="RockType">Contact_Analysis_Form!$B$9</definedName>
    <definedName name="ROP5d">'summary_doc~12345'!$D$4:$D$24</definedName>
    <definedName name="ROP8d">'summary_doc~12345A00'!$D$4:$D$24</definedName>
    <definedName name="ROPMax">targets!$L$5</definedName>
    <definedName name="ROPMin">targets!$L$4</definedName>
    <definedName name="RPM">Contact_Analysis_Form!$B$13</definedName>
    <definedName name="RPM5d">'summary_doc~12345'!$C$4:$C$24</definedName>
    <definedName name="RPM8d">'summary_doc~12345A00'!$C$4:$C$24</definedName>
    <definedName name="ThisVersion">VersionCheck!$B$2</definedName>
    <definedName name="TQ5d">'summary_doc~12345'!$E$4:$E$24</definedName>
    <definedName name="TQ8d">'summary_doc~12345A00'!$E$4:$E$24</definedName>
    <definedName name="TQMax">targets!$K$5</definedName>
    <definedName name="TQMin">targets!$K$4</definedName>
    <definedName name="WOB5d">'summary_doc~12345'!$B$4:$B$24</definedName>
    <definedName name="WOB8d">'summary_doc~12345A00'!$B$4:$B$24</definedName>
    <definedName name="WOBMax">targets!$H$5</definedName>
    <definedName name="WOBMin">targets!$H$4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4" i="14" l="1"/>
  <c r="I4" i="15"/>
  <c r="I3" i="14"/>
  <c r="I3" i="15"/>
  <c r="C1" i="14"/>
  <c r="C1" i="15"/>
  <c r="H5" i="2" l="1"/>
  <c r="J5" i="2"/>
  <c r="C4" i="14"/>
  <c r="C4" i="15" l="1"/>
  <c r="I5" i="2" l="1"/>
  <c r="I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4" i="2"/>
  <c r="C8" i="20"/>
  <c r="I1" i="14" l="1"/>
  <c r="I2" i="14"/>
  <c r="I2" i="15" l="1"/>
  <c r="L5" i="2" s="1"/>
  <c r="I1" i="15"/>
  <c r="K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Barr</author>
  </authors>
  <commentList>
    <comment ref="B1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Alex Barr:</t>
        </r>
        <r>
          <rPr>
            <sz val="9"/>
            <color indexed="81"/>
            <rFont val="Tahoma"/>
            <family val="2"/>
          </rPr>
          <t xml:space="preserve">
Enter in klb.
Example: 20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VersionCheck" type="4" reconnectionMethod="2" refreshedVersion="0" deleted="1" background="1">
    <webPr xml="1" sourceData="1" parsePre="1" consecutive="1" url="http://smithlink.smith.com/Teamsites/STEngineering/StdProduct/Geo/SmithTechGeoEng/Design Spreadsheets/VersionCheck/ContactAnalysis/VersionCheck.xml" htmlTables="1"/>
  </connection>
</connections>
</file>

<file path=xl/sharedStrings.xml><?xml version="1.0" encoding="utf-8"?>
<sst xmlns="http://schemas.openxmlformats.org/spreadsheetml/2006/main" count="86" uniqueCount="68">
  <si>
    <t>#case number</t>
  </si>
  <si>
    <t># case</t>
  </si>
  <si>
    <t>wob(lbf)</t>
  </si>
  <si>
    <t>rpm(rev/min)</t>
  </si>
  <si>
    <t>rop(ft/hr)</t>
  </si>
  <si>
    <t>tq(ft-lbf)</t>
  </si>
  <si>
    <t>doc(in/rev)</t>
  </si>
  <si>
    <t>input_wob(lbf)</t>
  </si>
  <si>
    <t>TARGET</t>
  </si>
  <si>
    <t>Bit Size (in)</t>
  </si>
  <si>
    <t>Bit Type</t>
  </si>
  <si>
    <t>BOM</t>
  </si>
  <si>
    <t>Depth (ft)</t>
  </si>
  <si>
    <t>Mud Weight (ppg)</t>
  </si>
  <si>
    <t>Calculated BHP</t>
  </si>
  <si>
    <t>Bottom Hole Pressure (psi)</t>
  </si>
  <si>
    <t>Rock Type (Lithology)</t>
  </si>
  <si>
    <t>Average ROP (ft/hr)</t>
  </si>
  <si>
    <t>Average WOB for Average ROP*</t>
  </si>
  <si>
    <t>Maximum ROP (ft/hr)</t>
  </si>
  <si>
    <t>Total Bit RPM</t>
  </si>
  <si>
    <t>Motor Bend (Tilt Angle)</t>
  </si>
  <si>
    <t>Not required for RSS</t>
  </si>
  <si>
    <r>
      <t>Maximum DLS Required (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/100ft)</t>
    </r>
  </si>
  <si>
    <t>Notes:</t>
  </si>
  <si>
    <t>If average WOB does not produce average ROP seen in field, Engineering will select a different rock to produce average rop seen</t>
  </si>
  <si>
    <t>All inputs required.</t>
  </si>
  <si>
    <t>* New input</t>
  </si>
  <si>
    <t>DoC</t>
  </si>
  <si>
    <t>Avg WOB for Avg ROP</t>
  </si>
  <si>
    <t>Y</t>
  </si>
  <si>
    <t>X</t>
  </si>
  <si>
    <t>MDOC CONTACT ANALYSIS</t>
  </si>
  <si>
    <t>http://www.corp.smithbits.com/IDEAS/vault/web/ideas/cutter/Rockfile%20Availability.htm</t>
  </si>
  <si>
    <t>Avg RPM</t>
  </si>
  <si>
    <t>MaxTq</t>
  </si>
  <si>
    <t>MaxROP</t>
  </si>
  <si>
    <t>ACTUAL ROCK ANALYZED</t>
  </si>
  <si>
    <t>1)</t>
  </si>
  <si>
    <t>2)</t>
  </si>
  <si>
    <t>3)</t>
  </si>
  <si>
    <t>Part Number</t>
  </si>
  <si>
    <t>MaxWt</t>
  </si>
  <si>
    <t>Tq</t>
  </si>
  <si>
    <t>ROP</t>
  </si>
  <si>
    <t>DOC</t>
  </si>
  <si>
    <t>WOB</t>
  </si>
  <si>
    <t>MaxDOC</t>
  </si>
  <si>
    <t>Latest Version</t>
  </si>
  <si>
    <t>LOG</t>
  </si>
  <si>
    <t>This Version</t>
  </si>
  <si>
    <t>History</t>
  </si>
  <si>
    <t>Comments</t>
  </si>
  <si>
    <t>Initial release with VersionCheck</t>
  </si>
  <si>
    <t>CheckVersion File Location</t>
  </si>
  <si>
    <t>Added Export charts button</t>
  </si>
  <si>
    <t>Fixed code for summary_doc read in.</t>
  </si>
  <si>
    <t>Revamped for better usability.</t>
  </si>
  <si>
    <t>Dir</t>
  </si>
  <si>
    <t>Working Remotely</t>
  </si>
  <si>
    <t>MDIZ516UEBPX</t>
  </si>
  <si>
    <t>67114A01xx</t>
  </si>
  <si>
    <t>WE</t>
  </si>
  <si>
    <t>67114A01</t>
  </si>
  <si>
    <t>67114A01_MDOCs</t>
  </si>
  <si>
    <t>Wellington Shale @ 3ksi</t>
  </si>
  <si>
    <t>X:\temp\!DES_Save_Loc\67114a01\contact\utility_files~Final~topsOn\</t>
  </si>
  <si>
    <t>X:\temp\!DES_Save_Loc\67114a01\contact\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</si>
</sst>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</font>
    <font>
      <b/>
      <sz val="10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rgb="FFFF0000"/>
      <name val="Arial"/>
      <family val="2"/>
    </font>
    <font>
      <b/>
      <vertAlign val="superscript"/>
      <sz val="10"/>
      <name val="Arial"/>
      <family val="2"/>
    </font>
    <font>
      <sz val="10"/>
      <color rgb="FFFF0000"/>
      <name val="Arial"/>
      <family val="2"/>
    </font>
    <font>
      <b/>
      <sz val="12"/>
      <color theme="0" tint="-4.9989318521683403E-2"/>
      <name val="Arial"/>
      <family val="2"/>
    </font>
    <font>
      <b/>
      <sz val="14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2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/>
  </cellStyleXfs>
  <cellXfs count="54">
    <xf numFmtId="0" fontId="0" fillId="0" borderId="0" xfId="0"/>
    <xf numFmtId="0" fontId="19" fillId="0" borderId="0" xfId="43" applyBorder="1"/>
    <xf numFmtId="49" fontId="21" fillId="0" borderId="0" xfId="42" applyNumberFormat="1" applyFont="1" applyFill="1" applyBorder="1" applyAlignment="1" applyProtection="1">
      <alignment horizontal="left" vertical="center"/>
    </xf>
    <xf numFmtId="0" fontId="19" fillId="0" borderId="0" xfId="43" applyFill="1"/>
    <xf numFmtId="49" fontId="19" fillId="0" borderId="0" xfId="43" applyNumberFormat="1" applyAlignment="1" applyProtection="1">
      <alignment vertical="center"/>
      <protection locked="0"/>
    </xf>
    <xf numFmtId="0" fontId="19" fillId="0" borderId="0" xfId="43"/>
    <xf numFmtId="49" fontId="19" fillId="0" borderId="0" xfId="43" applyNumberFormat="1" applyFill="1" applyAlignment="1" applyProtection="1">
      <alignment vertical="center"/>
      <protection locked="0"/>
    </xf>
    <xf numFmtId="1" fontId="19" fillId="0" borderId="0" xfId="43" applyNumberFormat="1" applyBorder="1" applyAlignment="1" applyProtection="1">
      <alignment vertical="center"/>
      <protection locked="0"/>
    </xf>
    <xf numFmtId="0" fontId="23" fillId="0" borderId="0" xfId="42" applyFont="1" applyFill="1" applyBorder="1" applyAlignment="1" applyProtection="1">
      <alignment horizontal="left" vertical="center"/>
    </xf>
    <xf numFmtId="1" fontId="19" fillId="0" borderId="0" xfId="43" applyNumberFormat="1" applyAlignment="1" applyProtection="1">
      <alignment horizontal="right" vertical="center"/>
      <protection locked="0"/>
    </xf>
    <xf numFmtId="1" fontId="19" fillId="0" borderId="0" xfId="43" applyNumberFormat="1" applyAlignment="1" applyProtection="1">
      <alignment vertical="center"/>
      <protection locked="0"/>
    </xf>
    <xf numFmtId="0" fontId="21" fillId="0" borderId="0" xfId="42" applyFont="1" applyFill="1" applyBorder="1" applyAlignment="1" applyProtection="1">
      <alignment horizontal="left" vertical="center" wrapText="1"/>
    </xf>
    <xf numFmtId="0" fontId="19" fillId="0" borderId="0" xfId="43" applyBorder="1" applyAlignment="1" applyProtection="1">
      <alignment vertical="center"/>
      <protection locked="0"/>
    </xf>
    <xf numFmtId="0" fontId="25" fillId="0" borderId="0" xfId="42" applyFont="1" applyFill="1" applyBorder="1" applyAlignment="1" applyProtection="1">
      <alignment horizontal="left" vertical="center" wrapText="1"/>
    </xf>
    <xf numFmtId="0" fontId="21" fillId="0" borderId="0" xfId="42" applyFont="1" applyFill="1" applyBorder="1" applyAlignment="1" applyProtection="1">
      <alignment horizontal="left" vertical="center"/>
    </xf>
    <xf numFmtId="0" fontId="19" fillId="0" borderId="0" xfId="43" applyAlignment="1" applyProtection="1">
      <alignment vertical="center"/>
      <protection locked="0"/>
    </xf>
    <xf numFmtId="0" fontId="19" fillId="33" borderId="0" xfId="43" applyFont="1" applyFill="1"/>
    <xf numFmtId="0" fontId="19" fillId="0" borderId="0" xfId="43" applyFont="1"/>
    <xf numFmtId="0" fontId="18" fillId="33" borderId="0" xfId="42" applyFont="1" applyFill="1" applyBorder="1" applyAlignment="1" applyProtection="1">
      <alignment horizontal="left" vertical="center"/>
    </xf>
    <xf numFmtId="0" fontId="27" fillId="33" borderId="0" xfId="42" applyFont="1" applyFill="1" applyBorder="1" applyAlignment="1" applyProtection="1">
      <alignment horizontal="left" vertical="center"/>
    </xf>
    <xf numFmtId="0" fontId="0" fillId="0" borderId="0" xfId="0" applyAlignment="1">
      <alignment horizontal="right"/>
    </xf>
    <xf numFmtId="0" fontId="0" fillId="33" borderId="10" xfId="0" applyFill="1" applyBorder="1" applyAlignment="1">
      <alignment horizontal="center" vertical="center"/>
    </xf>
    <xf numFmtId="0" fontId="0" fillId="0" borderId="0" xfId="0" applyNumberFormat="1"/>
    <xf numFmtId="0" fontId="22" fillId="34" borderId="0" xfId="0" applyFont="1" applyFill="1" applyAlignment="1" applyProtection="1">
      <alignment horizontal="center"/>
      <protection locked="0"/>
    </xf>
    <xf numFmtId="0" fontId="19" fillId="34" borderId="0" xfId="43" applyFill="1" applyProtection="1">
      <protection locked="0"/>
    </xf>
    <xf numFmtId="0" fontId="28" fillId="36" borderId="0" xfId="43" applyFont="1" applyFill="1" applyAlignment="1">
      <alignment horizontal="right"/>
    </xf>
    <xf numFmtId="49" fontId="29" fillId="0" borderId="0" xfId="43" applyNumberFormat="1" applyFont="1" applyBorder="1" applyAlignment="1" applyProtection="1">
      <alignment horizontal="right"/>
      <protection locked="0"/>
    </xf>
    <xf numFmtId="49" fontId="20" fillId="0" borderId="0" xfId="43" applyNumberFormat="1" applyFont="1" applyBorder="1" applyAlignment="1" applyProtection="1">
      <protection locked="0"/>
    </xf>
    <xf numFmtId="0" fontId="19" fillId="0" borderId="0" xfId="43" applyBorder="1" applyAlignment="1"/>
    <xf numFmtId="1" fontId="19" fillId="0" borderId="0" xfId="43" applyNumberFormat="1" applyBorder="1" applyAlignment="1" applyProtection="1">
      <alignment horizontal="right" vertical="center"/>
      <protection locked="0"/>
    </xf>
    <xf numFmtId="0" fontId="19" fillId="0" borderId="0" xfId="43" applyAlignment="1">
      <alignment horizontal="right"/>
    </xf>
    <xf numFmtId="0" fontId="19" fillId="33" borderId="10" xfId="43" applyFill="1" applyBorder="1" applyAlignment="1">
      <alignment horizontal="center"/>
    </xf>
    <xf numFmtId="0" fontId="0" fillId="0" borderId="0" xfId="0" applyAlignment="1">
      <alignment horizontal="center"/>
    </xf>
    <xf numFmtId="0" fontId="0" fillId="33" borderId="10" xfId="0" applyFill="1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justify" vertical="top"/>
    </xf>
    <xf numFmtId="0" fontId="0" fillId="0" borderId="10" xfId="0" applyBorder="1" applyAlignment="1">
      <alignment horizontal="justify" vertical="top"/>
    </xf>
    <xf numFmtId="0" fontId="0" fillId="0" borderId="0" xfId="0" applyAlignment="1">
      <alignment horizontal="justify" vertical="top" wrapText="1"/>
    </xf>
    <xf numFmtId="0" fontId="0" fillId="0" borderId="0" xfId="0" applyBorder="1"/>
    <xf numFmtId="0" fontId="34" fillId="0" borderId="0" xfId="45"/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justify" vertical="top" wrapText="1"/>
    </xf>
    <xf numFmtId="0" fontId="0" fillId="0" borderId="10" xfId="0" applyBorder="1" applyAlignment="1">
      <alignment horizontal="justify" vertical="top" wrapText="1"/>
    </xf>
    <xf numFmtId="0" fontId="0" fillId="0" borderId="10" xfId="0" applyBorder="1" applyAlignment="1">
      <alignment horizontal="justify" vertical="top"/>
    </xf>
    <xf numFmtId="0" fontId="0" fillId="0" borderId="10" xfId="0" applyBorder="1" applyAlignment="1">
      <alignment horizontal="justify" vertical="top" wrapText="1"/>
    </xf>
    <xf numFmtId="0" fontId="0" fillId="37" borderId="0" xfId="0" applyFill="1"/>
    <xf numFmtId="0" fontId="8" fillId="38" borderId="0" xfId="43" applyFont="1" applyFill="1" applyAlignment="1">
      <alignment horizontal="center" vertical="center"/>
    </xf>
    <xf numFmtId="0" fontId="19" fillId="0" borderId="0" xfId="43" applyAlignment="1">
      <alignment horizontal="center" vertical="center"/>
    </xf>
    <xf numFmtId="49" fontId="32" fillId="0" borderId="0" xfId="42" applyNumberFormat="1" applyFont="1" applyFill="1" applyBorder="1" applyAlignment="1" applyProtection="1">
      <alignment horizontal="center" vertical="center"/>
    </xf>
    <xf numFmtId="0" fontId="19" fillId="33" borderId="0" xfId="43" applyFont="1" applyFill="1" applyAlignment="1">
      <alignment horizontal="left"/>
    </xf>
    <xf numFmtId="1" fontId="33" fillId="33" borderId="11" xfId="43" applyNumberFormat="1" applyFont="1" applyFill="1" applyBorder="1" applyAlignment="1" applyProtection="1">
      <alignment horizontal="center" vertical="center"/>
      <protection locked="0"/>
    </xf>
    <xf numFmtId="1" fontId="33" fillId="33" borderId="12" xfId="43" applyNumberFormat="1" applyFont="1" applyFill="1" applyBorder="1" applyAlignment="1" applyProtection="1">
      <alignment horizontal="center" vertical="center"/>
      <protection locked="0"/>
    </xf>
    <xf numFmtId="0" fontId="24" fillId="35" borderId="0" xfId="44" applyFill="1" applyBorder="1" applyAlignment="1" applyProtection="1">
      <alignment horizontal="center" vertical="center"/>
      <protection locked="0"/>
    </xf>
    <xf numFmtId="0" fontId="0" fillId="0" borderId="10" xfId="0" applyBorder="1" applyAlignment="1">
      <alignment horizont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4" builtinId="8"/>
    <cellStyle name="Hyperlink 2" xfId="45" xr:uid="{00000000-0005-0000-0000-000022000000}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00000000-0005-0000-0000-000027000000}"/>
    <cellStyle name="Normal_IDEAS IAR form V1.3-20070814" xfId="42" xr:uid="{00000000-0005-0000-0000-000028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VersionCheck">
        <xsd:complexType>
          <xsd:sequence minOccurs="0">
            <xsd:element minOccurs="0" nillable="true" type="xsd:integer" name="Version" form="unqualified"/>
          </xsd:sequence>
        </xsd:complexType>
      </xsd:element>
    </xsd:schema>
  </Schema>
  <Map ID="1" Name="VersionCheck_Map" RootElement="VersionCheck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5" Type="http://schemas.openxmlformats.org/officeDocument/2006/relationships/xmlMaps" Target="xmlMaps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Depth of Cut - Wellington Shale @ 3ksi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targets!$C$1</c:f>
              <c:strCache>
                <c:ptCount val="1"/>
                <c:pt idx="0">
                  <c:v>TARGET</c:v>
                </c:pt>
              </c:strCache>
            </c:strRef>
          </c:tx>
          <c:spPr>
            <a:solidFill>
              <a:srgbClr val="FFFF00">
                <a:alpha val="50000"/>
              </a:srgbClr>
            </a:solidFill>
            <a:ln w="25400">
              <a:solidFill>
                <a:srgbClr val="FFC000"/>
              </a:solidFill>
            </a:ln>
          </c:spPr>
          <c:val>
            <c:numRef>
              <c:f>targets!$C$4:$C$36</c:f>
              <c:numCache>
                <c:formatCode>General</c:formatCode>
                <c:ptCount val="33"/>
                <c:pt idx="0">
                  <c:v>0.27500000000000002</c:v>
                </c:pt>
                <c:pt idx="1">
                  <c:v>0.27500000000000002</c:v>
                </c:pt>
                <c:pt idx="2">
                  <c:v>0.27500000000000002</c:v>
                </c:pt>
                <c:pt idx="3">
                  <c:v>0.27500000000000002</c:v>
                </c:pt>
                <c:pt idx="4">
                  <c:v>0.27500000000000002</c:v>
                </c:pt>
                <c:pt idx="5">
                  <c:v>0.27500000000000002</c:v>
                </c:pt>
                <c:pt idx="6">
                  <c:v>0.27500000000000002</c:v>
                </c:pt>
                <c:pt idx="7">
                  <c:v>0.27500000000000002</c:v>
                </c:pt>
                <c:pt idx="8">
                  <c:v>0.27500000000000002</c:v>
                </c:pt>
                <c:pt idx="9">
                  <c:v>0.27500000000000002</c:v>
                </c:pt>
                <c:pt idx="10">
                  <c:v>0.27500000000000002</c:v>
                </c:pt>
                <c:pt idx="11">
                  <c:v>0.27500000000000002</c:v>
                </c:pt>
                <c:pt idx="12">
                  <c:v>0.27500000000000002</c:v>
                </c:pt>
                <c:pt idx="13">
                  <c:v>0.27500000000000002</c:v>
                </c:pt>
                <c:pt idx="14">
                  <c:v>0.27500000000000002</c:v>
                </c:pt>
                <c:pt idx="15">
                  <c:v>0.27500000000000002</c:v>
                </c:pt>
                <c:pt idx="16">
                  <c:v>0.27500000000000002</c:v>
                </c:pt>
                <c:pt idx="17">
                  <c:v>0.27500000000000002</c:v>
                </c:pt>
                <c:pt idx="18">
                  <c:v>0.27500000000000002</c:v>
                </c:pt>
                <c:pt idx="19">
                  <c:v>0.27500000000000002</c:v>
                </c:pt>
                <c:pt idx="20">
                  <c:v>0.27500000000000002</c:v>
                </c:pt>
                <c:pt idx="21">
                  <c:v>0.27500000000000002</c:v>
                </c:pt>
                <c:pt idx="22">
                  <c:v>0.27500000000000002</c:v>
                </c:pt>
                <c:pt idx="23">
                  <c:v>0.27500000000000002</c:v>
                </c:pt>
                <c:pt idx="24">
                  <c:v>0.27500000000000002</c:v>
                </c:pt>
                <c:pt idx="25">
                  <c:v>0.27500000000000002</c:v>
                </c:pt>
                <c:pt idx="26">
                  <c:v>0.27500000000000002</c:v>
                </c:pt>
                <c:pt idx="27">
                  <c:v>0.27500000000000002</c:v>
                </c:pt>
                <c:pt idx="28">
                  <c:v>0.27500000000000002</c:v>
                </c:pt>
                <c:pt idx="29">
                  <c:v>0.27500000000000002</c:v>
                </c:pt>
                <c:pt idx="30">
                  <c:v>0.27500000000000002</c:v>
                </c:pt>
                <c:pt idx="31">
                  <c:v>0.27500000000000002</c:v>
                </c:pt>
                <c:pt idx="32">
                  <c:v>0.27500000000000002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0F-476D-89FE-21EAF44BA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84928"/>
        <c:axId val="159086464"/>
      </c:areaChart>
      <c:scatterChart>
        <c:scatterStyle val="smoothMarker"/>
        <c:varyColors val="0"/>
        <c:ser>
          <c:idx val="4"/>
          <c:order val="1"/>
          <c:tx>
            <c:strRef>
              <c:f>[0]!Name5d</c:f>
              <c:strCache>
                <c:ptCount val="1"/>
                <c:pt idx="0">
                  <c:v>67114A01</c:v>
                </c:pt>
              </c:strCache>
            </c:strRef>
          </c:tx>
          <c:spPr>
            <a:ln w="25400" cap="flat" cmpd="sng" algn="ctr">
              <a:solidFill>
                <a:srgbClr val="4BACC6"/>
              </a:solidFill>
              <a:prstDash val="solid"/>
            </a:ln>
            <a:effectLst/>
          </c:spPr>
          <c:marker>
            <c:symbol val="none"/>
          </c:marker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1-C40F-476D-89FE-21EAF44BA036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2-C40F-476D-89FE-21EAF44BA036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03-C40F-476D-89FE-21EAF44BA036}"/>
              </c:ext>
            </c:extLst>
          </c:dPt>
          <c:xVal>
            <c:numRef>
              <c:f>[0]!WOB5d</c:f>
              <c:numCache>
                <c:formatCode>General</c:formatCode>
                <c:ptCount val="21"/>
                <c:pt idx="0">
                  <c:v>0</c:v>
                </c:pt>
                <c:pt idx="1">
                  <c:v>4987.25</c:v>
                </c:pt>
                <c:pt idx="2">
                  <c:v>7509.02</c:v>
                </c:pt>
                <c:pt idx="3">
                  <c:v>10026.58</c:v>
                </c:pt>
                <c:pt idx="4">
                  <c:v>12494.17</c:v>
                </c:pt>
                <c:pt idx="5">
                  <c:v>14966.87</c:v>
                </c:pt>
                <c:pt idx="6">
                  <c:v>17525.82</c:v>
                </c:pt>
                <c:pt idx="7">
                  <c:v>19985.05</c:v>
                </c:pt>
                <c:pt idx="8">
                  <c:v>22454.19</c:v>
                </c:pt>
                <c:pt idx="9">
                  <c:v>24952.66</c:v>
                </c:pt>
                <c:pt idx="10">
                  <c:v>25355.884193548387</c:v>
                </c:pt>
                <c:pt idx="11">
                  <c:v>27452.65</c:v>
                </c:pt>
                <c:pt idx="12">
                  <c:v>30022.84</c:v>
                </c:pt>
                <c:pt idx="13">
                  <c:v>32465.85</c:v>
                </c:pt>
                <c:pt idx="14">
                  <c:v>35034.769999999997</c:v>
                </c:pt>
                <c:pt idx="15">
                  <c:v>37959.89</c:v>
                </c:pt>
                <c:pt idx="16">
                  <c:v>40028.730000000003</c:v>
                </c:pt>
                <c:pt idx="17">
                  <c:v>42477.63</c:v>
                </c:pt>
                <c:pt idx="18">
                  <c:v>44977.29</c:v>
                </c:pt>
                <c:pt idx="19">
                  <c:v>47488.55</c:v>
                </c:pt>
                <c:pt idx="20">
                  <c:v>50017.29</c:v>
                </c:pt>
              </c:numCache>
            </c:numRef>
          </c:xVal>
          <c:yVal>
            <c:numRef>
              <c:f>[0]!DOC5d</c:f>
              <c:numCache>
                <c:formatCode>General</c:formatCode>
                <c:ptCount val="21"/>
                <c:pt idx="0">
                  <c:v>0</c:v>
                </c:pt>
                <c:pt idx="1">
                  <c:v>3.5000000000000003E-2</c:v>
                </c:pt>
                <c:pt idx="2">
                  <c:v>6.0999999999999999E-2</c:v>
                </c:pt>
                <c:pt idx="3">
                  <c:v>8.8999999999999996E-2</c:v>
                </c:pt>
                <c:pt idx="4">
                  <c:v>0.11700000000000001</c:v>
                </c:pt>
                <c:pt idx="5">
                  <c:v>0.14599999999999999</c:v>
                </c:pt>
                <c:pt idx="6">
                  <c:v>0.17699999999999999</c:v>
                </c:pt>
                <c:pt idx="7">
                  <c:v>0.20799999999999999</c:v>
                </c:pt>
                <c:pt idx="8">
                  <c:v>0.23699999999999999</c:v>
                </c:pt>
                <c:pt idx="9">
                  <c:v>0.27</c:v>
                </c:pt>
                <c:pt idx="10">
                  <c:v>0.27500000000000002</c:v>
                </c:pt>
                <c:pt idx="11">
                  <c:v>0.30099999999999999</c:v>
                </c:pt>
                <c:pt idx="12">
                  <c:v>0.32600000000000001</c:v>
                </c:pt>
                <c:pt idx="13">
                  <c:v>0.35099999999999998</c:v>
                </c:pt>
                <c:pt idx="14">
                  <c:v>0.374</c:v>
                </c:pt>
                <c:pt idx="15">
                  <c:v>0.39400000000000002</c:v>
                </c:pt>
                <c:pt idx="16">
                  <c:v>0.40600000000000003</c:v>
                </c:pt>
                <c:pt idx="17">
                  <c:v>0.42099999999999999</c:v>
                </c:pt>
                <c:pt idx="18">
                  <c:v>0.437</c:v>
                </c:pt>
                <c:pt idx="19">
                  <c:v>0.44600000000000001</c:v>
                </c:pt>
                <c:pt idx="20">
                  <c:v>0.45800000000000002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0F-476D-89FE-21EAF44BA036}"/>
            </c:ext>
          </c:extLst>
        </c:ser>
        <c:ser>
          <c:idx val="3"/>
          <c:order val="2"/>
          <c:tx>
            <c:strRef>
              <c:f>[0]!Name8d</c:f>
              <c:strCache>
                <c:ptCount val="1"/>
                <c:pt idx="0">
                  <c:v>67114A01_MDOCs</c:v>
                </c:pt>
              </c:strCache>
            </c:strRef>
          </c:tx>
          <c:spPr>
            <a:ln w="25400" cap="flat" cmpd="sng" algn="ctr">
              <a:solidFill>
                <a:srgbClr val="8064A2"/>
              </a:solidFill>
              <a:prstDash val="solid"/>
            </a:ln>
            <a:effectLst/>
          </c:spPr>
          <c:marker>
            <c:symbol val="none"/>
          </c:marker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5-C40F-476D-89FE-21EAF44BA036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06-C40F-476D-89FE-21EAF44BA036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07-C40F-476D-89FE-21EAF44BA036}"/>
              </c:ext>
            </c:extLst>
          </c:dPt>
          <c:xVal>
            <c:numRef>
              <c:f>[0]!WOB8d</c:f>
              <c:numCache>
                <c:formatCode>General</c:formatCode>
                <c:ptCount val="21"/>
                <c:pt idx="0">
                  <c:v>0</c:v>
                </c:pt>
                <c:pt idx="1">
                  <c:v>4987.25</c:v>
                </c:pt>
                <c:pt idx="2">
                  <c:v>7509.02</c:v>
                </c:pt>
                <c:pt idx="3">
                  <c:v>10026.58</c:v>
                </c:pt>
                <c:pt idx="4">
                  <c:v>12496.09</c:v>
                </c:pt>
                <c:pt idx="5">
                  <c:v>14972.96</c:v>
                </c:pt>
                <c:pt idx="6">
                  <c:v>17463.91</c:v>
                </c:pt>
                <c:pt idx="7">
                  <c:v>20046.580000000002</c:v>
                </c:pt>
                <c:pt idx="8">
                  <c:v>22521.5</c:v>
                </c:pt>
                <c:pt idx="9">
                  <c:v>24952.12</c:v>
                </c:pt>
                <c:pt idx="10">
                  <c:v>27450.2</c:v>
                </c:pt>
                <c:pt idx="11">
                  <c:v>29713.641250000001</c:v>
                </c:pt>
                <c:pt idx="12">
                  <c:v>30036.99</c:v>
                </c:pt>
                <c:pt idx="13">
                  <c:v>32502.13</c:v>
                </c:pt>
                <c:pt idx="14">
                  <c:v>35020.85</c:v>
                </c:pt>
                <c:pt idx="15">
                  <c:v>37490.9</c:v>
                </c:pt>
                <c:pt idx="16">
                  <c:v>39960.550000000003</c:v>
                </c:pt>
                <c:pt idx="17">
                  <c:v>42514.14</c:v>
                </c:pt>
                <c:pt idx="18">
                  <c:v>44966.51</c:v>
                </c:pt>
                <c:pt idx="19">
                  <c:v>47521.25</c:v>
                </c:pt>
                <c:pt idx="20">
                  <c:v>49577.75</c:v>
                </c:pt>
              </c:numCache>
            </c:numRef>
          </c:xVal>
          <c:yVal>
            <c:numRef>
              <c:f>[0]!DOC8d</c:f>
              <c:numCache>
                <c:formatCode>General</c:formatCode>
                <c:ptCount val="21"/>
                <c:pt idx="0">
                  <c:v>0</c:v>
                </c:pt>
                <c:pt idx="1">
                  <c:v>3.5000000000000003E-2</c:v>
                </c:pt>
                <c:pt idx="2">
                  <c:v>6.0999999999999999E-2</c:v>
                </c:pt>
                <c:pt idx="3">
                  <c:v>8.8999999999999996E-2</c:v>
                </c:pt>
                <c:pt idx="4">
                  <c:v>0.11700000000000001</c:v>
                </c:pt>
                <c:pt idx="5">
                  <c:v>0.14599999999999999</c:v>
                </c:pt>
                <c:pt idx="6">
                  <c:v>0.17499999999999999</c:v>
                </c:pt>
                <c:pt idx="7">
                  <c:v>0.20100000000000001</c:v>
                </c:pt>
                <c:pt idx="8">
                  <c:v>0.222</c:v>
                </c:pt>
                <c:pt idx="9">
                  <c:v>0.24199999999999999</c:v>
                </c:pt>
                <c:pt idx="10">
                  <c:v>0.26100000000000001</c:v>
                </c:pt>
                <c:pt idx="11">
                  <c:v>0.27500000000000002</c:v>
                </c:pt>
                <c:pt idx="12">
                  <c:v>0.27700000000000002</c:v>
                </c:pt>
                <c:pt idx="13">
                  <c:v>0.29199999999999998</c:v>
                </c:pt>
                <c:pt idx="14">
                  <c:v>0.30599999999999999</c:v>
                </c:pt>
                <c:pt idx="15">
                  <c:v>0.32100000000000001</c:v>
                </c:pt>
                <c:pt idx="16">
                  <c:v>0.33300000000000002</c:v>
                </c:pt>
                <c:pt idx="17">
                  <c:v>0.34499999999999997</c:v>
                </c:pt>
                <c:pt idx="18">
                  <c:v>0.35699999999999998</c:v>
                </c:pt>
                <c:pt idx="19">
                  <c:v>0.36599999999999999</c:v>
                </c:pt>
                <c:pt idx="20">
                  <c:v>0.376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40F-476D-89FE-21EAF44BA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02464"/>
        <c:axId val="159088000"/>
      </c:scatterChart>
      <c:dateAx>
        <c:axId val="159084928"/>
        <c:scaling>
          <c:orientation val="minMax"/>
        </c:scaling>
        <c:delete val="0"/>
        <c:axPos val="t"/>
        <c:majorTickMark val="none"/>
        <c:minorTickMark val="none"/>
        <c:tickLblPos val="none"/>
        <c:crossAx val="159086464"/>
        <c:crosses val="max"/>
        <c:auto val="0"/>
        <c:lblOffset val="0"/>
        <c:baseTimeUnit val="days"/>
        <c:minorUnit val="1"/>
      </c:dateAx>
      <c:valAx>
        <c:axId val="159086464"/>
        <c:scaling>
          <c:orientation val="minMax"/>
          <c:max val="0.1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59084928"/>
        <c:crosses val="autoZero"/>
        <c:crossBetween val="midCat"/>
      </c:valAx>
      <c:valAx>
        <c:axId val="159088000"/>
        <c:scaling>
          <c:orientation val="minMax"/>
          <c:max val="0.6000000000000000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/>
                  <a:t>Depth of Cut (in/rev)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59102464"/>
        <c:crosses val="autoZero"/>
        <c:crossBetween val="midCat"/>
      </c:valAx>
      <c:valAx>
        <c:axId val="159102464"/>
        <c:scaling>
          <c:orientation val="minMax"/>
          <c:max val="55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/>
                  <a:t>WOB (lbf)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59088000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t"/>
      <c:legendEntry>
        <c:idx val="0"/>
        <c:delete val="1"/>
      </c:legendEntry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ln w="1270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Torque - Wellington Shale @ 3ksi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Target</c:v>
          </c:tx>
          <c:spPr>
            <a:ln w="25400" cap="flat" cmpd="sng" algn="ctr">
              <a:solidFill>
                <a:schemeClr val="accent6"/>
              </a:solidFill>
              <a:prstDash val="solid"/>
            </a:ln>
            <a:effectLst/>
          </c:spPr>
          <c:marker>
            <c:symbol val="none"/>
          </c:marker>
          <c:xVal>
            <c:numRef>
              <c:f>targets!$I$4:$I$5</c:f>
              <c:numCache>
                <c:formatCode>General</c:formatCode>
                <c:ptCount val="2"/>
                <c:pt idx="0">
                  <c:v>22000</c:v>
                </c:pt>
                <c:pt idx="1">
                  <c:v>22000</c:v>
                </c:pt>
              </c:numCache>
            </c:numRef>
          </c:xVal>
          <c:yVal>
            <c:numRef>
              <c:f>targets!$K$4:$K$5</c:f>
              <c:numCache>
                <c:formatCode>General</c:formatCode>
                <c:ptCount val="2"/>
                <c:pt idx="0">
                  <c:v>0</c:v>
                </c:pt>
                <c:pt idx="1">
                  <c:v>11000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3-420C-9344-7B7BB3C5FB20}"/>
            </c:ext>
          </c:extLst>
        </c:ser>
        <c:ser>
          <c:idx val="3"/>
          <c:order val="1"/>
          <c:tx>
            <c:strRef>
              <c:f>[0]!Name5d</c:f>
              <c:strCache>
                <c:ptCount val="1"/>
                <c:pt idx="0">
                  <c:v>67114A01</c:v>
                </c:pt>
              </c:strCache>
            </c:strRef>
          </c:tx>
          <c:spPr>
            <a:ln w="25400" cap="flat" cmpd="sng" algn="ctr">
              <a:solidFill>
                <a:schemeClr val="accent5"/>
              </a:solidFill>
              <a:prstDash val="solid"/>
            </a:ln>
            <a:effectLst/>
          </c:spPr>
          <c:marker>
            <c:symbol val="none"/>
          </c:marker>
          <c:xVal>
            <c:numRef>
              <c:f>[0]!WOB5d</c:f>
              <c:numCache>
                <c:formatCode>General</c:formatCode>
                <c:ptCount val="21"/>
                <c:pt idx="0">
                  <c:v>0</c:v>
                </c:pt>
                <c:pt idx="1">
                  <c:v>4987.25</c:v>
                </c:pt>
                <c:pt idx="2">
                  <c:v>7509.02</c:v>
                </c:pt>
                <c:pt idx="3">
                  <c:v>10026.58</c:v>
                </c:pt>
                <c:pt idx="4">
                  <c:v>12494.17</c:v>
                </c:pt>
                <c:pt idx="5">
                  <c:v>14966.87</c:v>
                </c:pt>
                <c:pt idx="6">
                  <c:v>17525.82</c:v>
                </c:pt>
                <c:pt idx="7">
                  <c:v>19985.05</c:v>
                </c:pt>
                <c:pt idx="8">
                  <c:v>22454.19</c:v>
                </c:pt>
                <c:pt idx="9">
                  <c:v>24952.66</c:v>
                </c:pt>
                <c:pt idx="10">
                  <c:v>25355.884193548387</c:v>
                </c:pt>
                <c:pt idx="11">
                  <c:v>27452.65</c:v>
                </c:pt>
                <c:pt idx="12">
                  <c:v>30022.84</c:v>
                </c:pt>
                <c:pt idx="13">
                  <c:v>32465.85</c:v>
                </c:pt>
                <c:pt idx="14">
                  <c:v>35034.769999999997</c:v>
                </c:pt>
                <c:pt idx="15">
                  <c:v>37959.89</c:v>
                </c:pt>
                <c:pt idx="16">
                  <c:v>40028.730000000003</c:v>
                </c:pt>
                <c:pt idx="17">
                  <c:v>42477.63</c:v>
                </c:pt>
                <c:pt idx="18">
                  <c:v>44977.29</c:v>
                </c:pt>
                <c:pt idx="19">
                  <c:v>47488.55</c:v>
                </c:pt>
                <c:pt idx="20">
                  <c:v>50017.29</c:v>
                </c:pt>
              </c:numCache>
            </c:numRef>
          </c:xVal>
          <c:yVal>
            <c:numRef>
              <c:f>[0]!TQ5d</c:f>
              <c:numCache>
                <c:formatCode>General</c:formatCode>
                <c:ptCount val="21"/>
                <c:pt idx="0">
                  <c:v>0</c:v>
                </c:pt>
                <c:pt idx="1">
                  <c:v>1244.0899999999999</c:v>
                </c:pt>
                <c:pt idx="2">
                  <c:v>1751.44</c:v>
                </c:pt>
                <c:pt idx="3">
                  <c:v>2226.02</c:v>
                </c:pt>
                <c:pt idx="4">
                  <c:v>2672.31</c:v>
                </c:pt>
                <c:pt idx="5">
                  <c:v>3090.96</c:v>
                </c:pt>
                <c:pt idx="6">
                  <c:v>3497.83</c:v>
                </c:pt>
                <c:pt idx="7">
                  <c:v>3873.23</c:v>
                </c:pt>
                <c:pt idx="8">
                  <c:v>4197.25</c:v>
                </c:pt>
                <c:pt idx="9">
                  <c:v>4558.6899999999996</c:v>
                </c:pt>
                <c:pt idx="10">
                  <c:v>4614.2416129032254</c:v>
                </c:pt>
                <c:pt idx="11">
                  <c:v>4903.1099999999997</c:v>
                </c:pt>
                <c:pt idx="12">
                  <c:v>5212.97</c:v>
                </c:pt>
                <c:pt idx="13">
                  <c:v>5535.26</c:v>
                </c:pt>
                <c:pt idx="14">
                  <c:v>5869.1</c:v>
                </c:pt>
                <c:pt idx="15">
                  <c:v>6211.4</c:v>
                </c:pt>
                <c:pt idx="16">
                  <c:v>6436.67</c:v>
                </c:pt>
                <c:pt idx="17">
                  <c:v>6712</c:v>
                </c:pt>
                <c:pt idx="18">
                  <c:v>7060.4</c:v>
                </c:pt>
                <c:pt idx="19">
                  <c:v>7266.4</c:v>
                </c:pt>
                <c:pt idx="20">
                  <c:v>7531.21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33-420C-9344-7B7BB3C5FB20}"/>
            </c:ext>
          </c:extLst>
        </c:ser>
        <c:ser>
          <c:idx val="2"/>
          <c:order val="2"/>
          <c:tx>
            <c:strRef>
              <c:f>[0]!Name8d</c:f>
              <c:strCache>
                <c:ptCount val="1"/>
                <c:pt idx="0">
                  <c:v>67114A01_MDOCs</c:v>
                </c:pt>
              </c:strCache>
            </c:strRef>
          </c:tx>
          <c:spPr>
            <a:ln w="25400" cap="flat" cmpd="sng" algn="ctr">
              <a:solidFill>
                <a:schemeClr val="accent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[0]!WOB8d</c:f>
              <c:numCache>
                <c:formatCode>General</c:formatCode>
                <c:ptCount val="21"/>
                <c:pt idx="0">
                  <c:v>0</c:v>
                </c:pt>
                <c:pt idx="1">
                  <c:v>4987.25</c:v>
                </c:pt>
                <c:pt idx="2">
                  <c:v>7509.02</c:v>
                </c:pt>
                <c:pt idx="3">
                  <c:v>10026.58</c:v>
                </c:pt>
                <c:pt idx="4">
                  <c:v>12496.09</c:v>
                </c:pt>
                <c:pt idx="5">
                  <c:v>14972.96</c:v>
                </c:pt>
                <c:pt idx="6">
                  <c:v>17463.91</c:v>
                </c:pt>
                <c:pt idx="7">
                  <c:v>20046.580000000002</c:v>
                </c:pt>
                <c:pt idx="8">
                  <c:v>22521.5</c:v>
                </c:pt>
                <c:pt idx="9">
                  <c:v>24952.12</c:v>
                </c:pt>
                <c:pt idx="10">
                  <c:v>27450.2</c:v>
                </c:pt>
                <c:pt idx="11">
                  <c:v>29713.641250000001</c:v>
                </c:pt>
                <c:pt idx="12">
                  <c:v>30036.99</c:v>
                </c:pt>
                <c:pt idx="13">
                  <c:v>32502.13</c:v>
                </c:pt>
                <c:pt idx="14">
                  <c:v>35020.85</c:v>
                </c:pt>
                <c:pt idx="15">
                  <c:v>37490.9</c:v>
                </c:pt>
                <c:pt idx="16">
                  <c:v>39960.550000000003</c:v>
                </c:pt>
                <c:pt idx="17">
                  <c:v>42514.14</c:v>
                </c:pt>
                <c:pt idx="18">
                  <c:v>44966.51</c:v>
                </c:pt>
                <c:pt idx="19">
                  <c:v>47521.25</c:v>
                </c:pt>
                <c:pt idx="20">
                  <c:v>49577.75</c:v>
                </c:pt>
              </c:numCache>
            </c:numRef>
          </c:xVal>
          <c:yVal>
            <c:numRef>
              <c:f>[0]!TQ8d</c:f>
              <c:numCache>
                <c:formatCode>General</c:formatCode>
                <c:ptCount val="21"/>
                <c:pt idx="0">
                  <c:v>0</c:v>
                </c:pt>
                <c:pt idx="1">
                  <c:v>1244.0899999999999</c:v>
                </c:pt>
                <c:pt idx="2">
                  <c:v>1751.44</c:v>
                </c:pt>
                <c:pt idx="3">
                  <c:v>2226.02</c:v>
                </c:pt>
                <c:pt idx="4">
                  <c:v>2672.36</c:v>
                </c:pt>
                <c:pt idx="5">
                  <c:v>3091.1</c:v>
                </c:pt>
                <c:pt idx="6">
                  <c:v>3487.48</c:v>
                </c:pt>
                <c:pt idx="7">
                  <c:v>3879.54</c:v>
                </c:pt>
                <c:pt idx="8">
                  <c:v>4273.08</c:v>
                </c:pt>
                <c:pt idx="9">
                  <c:v>4705.43</c:v>
                </c:pt>
                <c:pt idx="10">
                  <c:v>5165.17</c:v>
                </c:pt>
                <c:pt idx="11">
                  <c:v>5571.1</c:v>
                </c:pt>
                <c:pt idx="12">
                  <c:v>5629.09</c:v>
                </c:pt>
                <c:pt idx="13">
                  <c:v>6107.13</c:v>
                </c:pt>
                <c:pt idx="14">
                  <c:v>6587.83</c:v>
                </c:pt>
                <c:pt idx="15">
                  <c:v>7142.22</c:v>
                </c:pt>
                <c:pt idx="16">
                  <c:v>7578.82</c:v>
                </c:pt>
                <c:pt idx="17">
                  <c:v>8047.63</c:v>
                </c:pt>
                <c:pt idx="18">
                  <c:v>8531.0300000000007</c:v>
                </c:pt>
                <c:pt idx="19">
                  <c:v>8907.8700000000008</c:v>
                </c:pt>
                <c:pt idx="20">
                  <c:v>9354.6299999999992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33-420C-9344-7B7BB3C5F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27264"/>
        <c:axId val="158829184"/>
      </c:scatterChart>
      <c:valAx>
        <c:axId val="158827264"/>
        <c:scaling>
          <c:orientation val="minMax"/>
          <c:max val="55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WOB (lbf)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829184"/>
        <c:crosses val="autoZero"/>
        <c:crossBetween val="midCat"/>
      </c:valAx>
      <c:valAx>
        <c:axId val="158829184"/>
        <c:scaling>
          <c:orientation val="minMax"/>
          <c:max val="11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Torque (ft-lbf)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827264"/>
        <c:crosses val="autoZero"/>
        <c:crossBetween val="midCat"/>
      </c:valAx>
    </c:plotArea>
    <c:legend>
      <c:legendPos val="t"/>
      <c:legendEntry>
        <c:idx val="0"/>
        <c:delete val="1"/>
      </c:legendEntry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ROP - Wellington Shale @ 3ksi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Target</c:v>
          </c:tx>
          <c:spPr>
            <a:ln w="25400" cap="flat" cmpd="sng" algn="ctr">
              <a:solidFill>
                <a:schemeClr val="accent6"/>
              </a:solidFill>
              <a:prstDash val="solid"/>
            </a:ln>
            <a:effectLst/>
          </c:spPr>
          <c:marker>
            <c:symbol val="none"/>
          </c:marker>
          <c:xVal>
            <c:numRef>
              <c:f>targets!$I$4:$I$5</c:f>
              <c:numCache>
                <c:formatCode>General</c:formatCode>
                <c:ptCount val="2"/>
                <c:pt idx="0">
                  <c:v>22000</c:v>
                </c:pt>
                <c:pt idx="1">
                  <c:v>22000</c:v>
                </c:pt>
              </c:numCache>
            </c:numRef>
          </c:xVal>
          <c:yVal>
            <c:numRef>
              <c:f>targets!$L$4:$L$5</c:f>
              <c:numCache>
                <c:formatCode>General</c:formatCode>
                <c:ptCount val="2"/>
                <c:pt idx="0">
                  <c:v>0</c:v>
                </c:pt>
                <c:pt idx="1">
                  <c:v>450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8-4129-B3D6-1F1C593E97B3}"/>
            </c:ext>
          </c:extLst>
        </c:ser>
        <c:ser>
          <c:idx val="3"/>
          <c:order val="1"/>
          <c:tx>
            <c:strRef>
              <c:f>[0]!Name5d</c:f>
              <c:strCache>
                <c:ptCount val="1"/>
                <c:pt idx="0">
                  <c:v>67114A01</c:v>
                </c:pt>
              </c:strCache>
            </c:strRef>
          </c:tx>
          <c:spPr>
            <a:ln w="25400" cap="flat" cmpd="sng" algn="ctr">
              <a:solidFill>
                <a:schemeClr val="accent5"/>
              </a:solidFill>
              <a:prstDash val="solid"/>
            </a:ln>
            <a:effectLst/>
          </c:spPr>
          <c:marker>
            <c:symbol val="none"/>
          </c:marker>
          <c:xVal>
            <c:numRef>
              <c:f>[0]!WOB5d</c:f>
              <c:numCache>
                <c:formatCode>General</c:formatCode>
                <c:ptCount val="21"/>
                <c:pt idx="0">
                  <c:v>0</c:v>
                </c:pt>
                <c:pt idx="1">
                  <c:v>4987.25</c:v>
                </c:pt>
                <c:pt idx="2">
                  <c:v>7509.02</c:v>
                </c:pt>
                <c:pt idx="3">
                  <c:v>10026.58</c:v>
                </c:pt>
                <c:pt idx="4">
                  <c:v>12494.17</c:v>
                </c:pt>
                <c:pt idx="5">
                  <c:v>14966.87</c:v>
                </c:pt>
                <c:pt idx="6">
                  <c:v>17525.82</c:v>
                </c:pt>
                <c:pt idx="7">
                  <c:v>19985.05</c:v>
                </c:pt>
                <c:pt idx="8">
                  <c:v>22454.19</c:v>
                </c:pt>
                <c:pt idx="9">
                  <c:v>24952.66</c:v>
                </c:pt>
                <c:pt idx="10">
                  <c:v>25355.884193548387</c:v>
                </c:pt>
                <c:pt idx="11">
                  <c:v>27452.65</c:v>
                </c:pt>
                <c:pt idx="12">
                  <c:v>30022.84</c:v>
                </c:pt>
                <c:pt idx="13">
                  <c:v>32465.85</c:v>
                </c:pt>
                <c:pt idx="14">
                  <c:v>35034.769999999997</c:v>
                </c:pt>
                <c:pt idx="15">
                  <c:v>37959.89</c:v>
                </c:pt>
                <c:pt idx="16">
                  <c:v>40028.730000000003</c:v>
                </c:pt>
                <c:pt idx="17">
                  <c:v>42477.63</c:v>
                </c:pt>
                <c:pt idx="18">
                  <c:v>44977.29</c:v>
                </c:pt>
                <c:pt idx="19">
                  <c:v>47488.55</c:v>
                </c:pt>
                <c:pt idx="20">
                  <c:v>50017.29</c:v>
                </c:pt>
              </c:numCache>
            </c:numRef>
          </c:xVal>
          <c:yVal>
            <c:numRef>
              <c:f>[0]!ROP5d</c:f>
              <c:numCache>
                <c:formatCode>General</c:formatCode>
                <c:ptCount val="21"/>
                <c:pt idx="0">
                  <c:v>0</c:v>
                </c:pt>
                <c:pt idx="1">
                  <c:v>28.13</c:v>
                </c:pt>
                <c:pt idx="2">
                  <c:v>48.75</c:v>
                </c:pt>
                <c:pt idx="3">
                  <c:v>70.88</c:v>
                </c:pt>
                <c:pt idx="4">
                  <c:v>93.31</c:v>
                </c:pt>
                <c:pt idx="5">
                  <c:v>116.64</c:v>
                </c:pt>
                <c:pt idx="6">
                  <c:v>141.37</c:v>
                </c:pt>
                <c:pt idx="7">
                  <c:v>166.28</c:v>
                </c:pt>
                <c:pt idx="8">
                  <c:v>189.8</c:v>
                </c:pt>
                <c:pt idx="9">
                  <c:v>216.17</c:v>
                </c:pt>
                <c:pt idx="10">
                  <c:v>220.12</c:v>
                </c:pt>
                <c:pt idx="11">
                  <c:v>240.66</c:v>
                </c:pt>
                <c:pt idx="12">
                  <c:v>260.61</c:v>
                </c:pt>
                <c:pt idx="13">
                  <c:v>280.56</c:v>
                </c:pt>
                <c:pt idx="14">
                  <c:v>298.94</c:v>
                </c:pt>
                <c:pt idx="15">
                  <c:v>315.23</c:v>
                </c:pt>
                <c:pt idx="16">
                  <c:v>325.07</c:v>
                </c:pt>
                <c:pt idx="17">
                  <c:v>336.68</c:v>
                </c:pt>
                <c:pt idx="18">
                  <c:v>349.74</c:v>
                </c:pt>
                <c:pt idx="19">
                  <c:v>356.99</c:v>
                </c:pt>
                <c:pt idx="20">
                  <c:v>366.79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8-4129-B3D6-1F1C593E97B3}"/>
            </c:ext>
          </c:extLst>
        </c:ser>
        <c:ser>
          <c:idx val="2"/>
          <c:order val="2"/>
          <c:tx>
            <c:strRef>
              <c:f>[0]!Name8d</c:f>
              <c:strCache>
                <c:ptCount val="1"/>
                <c:pt idx="0">
                  <c:v>67114A01_MDOCs</c:v>
                </c:pt>
              </c:strCache>
            </c:strRef>
          </c:tx>
          <c:spPr>
            <a:ln w="25400" cap="flat" cmpd="sng" algn="ctr">
              <a:solidFill>
                <a:schemeClr val="accent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[0]!WOB8d</c:f>
              <c:numCache>
                <c:formatCode>General</c:formatCode>
                <c:ptCount val="21"/>
                <c:pt idx="0">
                  <c:v>0</c:v>
                </c:pt>
                <c:pt idx="1">
                  <c:v>4987.25</c:v>
                </c:pt>
                <c:pt idx="2">
                  <c:v>7509.02</c:v>
                </c:pt>
                <c:pt idx="3">
                  <c:v>10026.58</c:v>
                </c:pt>
                <c:pt idx="4">
                  <c:v>12496.09</c:v>
                </c:pt>
                <c:pt idx="5">
                  <c:v>14972.96</c:v>
                </c:pt>
                <c:pt idx="6">
                  <c:v>17463.91</c:v>
                </c:pt>
                <c:pt idx="7">
                  <c:v>20046.580000000002</c:v>
                </c:pt>
                <c:pt idx="8">
                  <c:v>22521.5</c:v>
                </c:pt>
                <c:pt idx="9">
                  <c:v>24952.12</c:v>
                </c:pt>
                <c:pt idx="10">
                  <c:v>27450.2</c:v>
                </c:pt>
                <c:pt idx="11">
                  <c:v>29713.641250000001</c:v>
                </c:pt>
                <c:pt idx="12">
                  <c:v>30036.99</c:v>
                </c:pt>
                <c:pt idx="13">
                  <c:v>32502.13</c:v>
                </c:pt>
                <c:pt idx="14">
                  <c:v>35020.85</c:v>
                </c:pt>
                <c:pt idx="15">
                  <c:v>37490.9</c:v>
                </c:pt>
                <c:pt idx="16">
                  <c:v>39960.550000000003</c:v>
                </c:pt>
                <c:pt idx="17">
                  <c:v>42514.14</c:v>
                </c:pt>
                <c:pt idx="18">
                  <c:v>44966.51</c:v>
                </c:pt>
                <c:pt idx="19">
                  <c:v>47521.25</c:v>
                </c:pt>
                <c:pt idx="20">
                  <c:v>49577.75</c:v>
                </c:pt>
              </c:numCache>
            </c:numRef>
          </c:xVal>
          <c:yVal>
            <c:numRef>
              <c:f>[0]!ROP8d</c:f>
              <c:numCache>
                <c:formatCode>General</c:formatCode>
                <c:ptCount val="21"/>
                <c:pt idx="0">
                  <c:v>0</c:v>
                </c:pt>
                <c:pt idx="1">
                  <c:v>28.13</c:v>
                </c:pt>
                <c:pt idx="2">
                  <c:v>48.75</c:v>
                </c:pt>
                <c:pt idx="3">
                  <c:v>70.88</c:v>
                </c:pt>
                <c:pt idx="4">
                  <c:v>93.31</c:v>
                </c:pt>
                <c:pt idx="5">
                  <c:v>116.64</c:v>
                </c:pt>
                <c:pt idx="6">
                  <c:v>139.97</c:v>
                </c:pt>
                <c:pt idx="7">
                  <c:v>160.96</c:v>
                </c:pt>
                <c:pt idx="8">
                  <c:v>177.83</c:v>
                </c:pt>
                <c:pt idx="9">
                  <c:v>194</c:v>
                </c:pt>
                <c:pt idx="10">
                  <c:v>209.11</c:v>
                </c:pt>
                <c:pt idx="11">
                  <c:v>220.13500000000002</c:v>
                </c:pt>
                <c:pt idx="12">
                  <c:v>221.71</c:v>
                </c:pt>
                <c:pt idx="13">
                  <c:v>233.55</c:v>
                </c:pt>
                <c:pt idx="14">
                  <c:v>244.89</c:v>
                </c:pt>
                <c:pt idx="15">
                  <c:v>256.98</c:v>
                </c:pt>
                <c:pt idx="16">
                  <c:v>266.05</c:v>
                </c:pt>
                <c:pt idx="17">
                  <c:v>275.73</c:v>
                </c:pt>
                <c:pt idx="18">
                  <c:v>285.7</c:v>
                </c:pt>
                <c:pt idx="19">
                  <c:v>292.95999999999998</c:v>
                </c:pt>
                <c:pt idx="20">
                  <c:v>301.10000000000002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88-4129-B3D6-1F1C593E9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570368"/>
        <c:axId val="158584832"/>
      </c:scatterChart>
      <c:valAx>
        <c:axId val="158570368"/>
        <c:scaling>
          <c:orientation val="minMax"/>
          <c:max val="55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WOB (lbf)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584832"/>
        <c:crosses val="autoZero"/>
        <c:crossBetween val="midCat"/>
      </c:valAx>
      <c:valAx>
        <c:axId val="158584832"/>
        <c:scaling>
          <c:orientation val="minMax"/>
          <c:max val="4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ROP (ft/hr)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570368"/>
        <c:crosses val="autoZero"/>
        <c:crossBetween val="midCat"/>
      </c:valAx>
    </c:plotArea>
    <c:legend>
      <c:legendPos val="t"/>
      <c:legendEntry>
        <c:idx val="0"/>
        <c:delete val="1"/>
      </c:legendEntry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>
    <tabColor rgb="FF00B050"/>
  </sheetPr>
  <sheetViews>
    <sheetView zoomScale="12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5">
    <tabColor rgb="FFFF0000"/>
  </sheetPr>
  <sheetViews>
    <sheetView zoomScale="11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6">
    <tabColor rgb="FF00B0F0"/>
  </sheetPr>
  <sheetViews>
    <sheetView zoomScale="11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22</xdr:row>
          <xdr:rowOff>47625</xdr:rowOff>
        </xdr:from>
        <xdr:to>
          <xdr:col>2</xdr:col>
          <xdr:colOff>1352550</xdr:colOff>
          <xdr:row>24</xdr:row>
          <xdr:rowOff>152400</xdr:rowOff>
        </xdr:to>
        <xdr:sp macro="" textlink="">
          <xdr:nvSpPr>
            <xdr:cNvPr id="6145" name="RelabelChart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Relabel Charts with this rock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47625</xdr:rowOff>
        </xdr:from>
        <xdr:to>
          <xdr:col>5</xdr:col>
          <xdr:colOff>0</xdr:colOff>
          <xdr:row>4</xdr:row>
          <xdr:rowOff>161925</xdr:rowOff>
        </xdr:to>
        <xdr:sp macro="" textlink="">
          <xdr:nvSpPr>
            <xdr:cNvPr id="6146" name="ReadInputs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values from Input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38100</xdr:rowOff>
        </xdr:from>
        <xdr:to>
          <xdr:col>7</xdr:col>
          <xdr:colOff>581025</xdr:colOff>
          <xdr:row>4</xdr:row>
          <xdr:rowOff>152400</xdr:rowOff>
        </xdr:to>
        <xdr:sp macro="" textlink="">
          <xdr:nvSpPr>
            <xdr:cNvPr id="6147" name="ReadTopsOFF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Tops OFF SummaryDoc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2</xdr:row>
          <xdr:rowOff>47625</xdr:rowOff>
        </xdr:from>
        <xdr:to>
          <xdr:col>10</xdr:col>
          <xdr:colOff>523875</xdr:colOff>
          <xdr:row>4</xdr:row>
          <xdr:rowOff>161925</xdr:rowOff>
        </xdr:to>
        <xdr:sp macro="" textlink="">
          <xdr:nvSpPr>
            <xdr:cNvPr id="6148" name="ReadTopsO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Tops ON SummaryDoc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26</xdr:row>
          <xdr:rowOff>47625</xdr:rowOff>
        </xdr:from>
        <xdr:to>
          <xdr:col>2</xdr:col>
          <xdr:colOff>1352550</xdr:colOff>
          <xdr:row>29</xdr:row>
          <xdr:rowOff>28575</xdr:rowOff>
        </xdr:to>
        <xdr:sp macro="" textlink="">
          <xdr:nvSpPr>
            <xdr:cNvPr id="6150" name="ReLimitCharts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Refit Chart Limits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26</xdr:row>
          <xdr:rowOff>47625</xdr:rowOff>
        </xdr:from>
        <xdr:to>
          <xdr:col>5</xdr:col>
          <xdr:colOff>133350</xdr:colOff>
          <xdr:row>29</xdr:row>
          <xdr:rowOff>28575</xdr:rowOff>
        </xdr:to>
        <xdr:sp macro="" textlink="">
          <xdr:nvSpPr>
            <xdr:cNvPr id="6151" name="ExportPlo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Plots to PPT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" xr6:uid="{00000000-000C-0000-FFFF-FFFF00000000}" r="B1" connectionId="1">
    <xmlCellPr id="1" xr6:uid="{00000000-0010-0000-0000-000001000000}" uniqueName="Version">
      <xmlPr mapId="1" xpath="/VersionCheck/Version" xmlDataType="integer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orp.smithbits.com/IDEAS/vault/web/ideas/cutter/Rockfile%20Availability.htm" TargetMode="External"/><Relationship Id="rId6" Type="http://schemas.openxmlformats.org/officeDocument/2006/relationships/ctrlProp" Target="../ctrlProps/ctrlProp2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mithlink.smith.com/Teamsites/STEngineering/StdProduct/Geo/SmithTechGeoEng/Design%20Spreadsheets/VersionCheck/SAM_REVCHE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9"/>
    <pageSetUpPr fitToPage="1"/>
  </sheetPr>
  <dimension ref="A1:K24"/>
  <sheetViews>
    <sheetView tabSelected="1" workbookViewId="0">
      <selection activeCell="P3" sqref="P3"/>
    </sheetView>
  </sheetViews>
  <sheetFormatPr defaultRowHeight="12.75" x14ac:dyDescent="0.2"/>
  <cols>
    <col min="1" max="1" width="31.140625" style="5" customWidth="1"/>
    <col min="2" max="2" width="18.7109375" style="5" customWidth="1"/>
    <col min="3" max="3" width="20.85546875" style="5" customWidth="1"/>
    <col min="4" max="5" width="9.140625" style="5"/>
    <col min="6" max="6" width="14" style="5" customWidth="1"/>
    <col min="7" max="8" width="9.140625" style="5"/>
    <col min="9" max="9" width="16.140625" style="5" customWidth="1"/>
    <col min="10" max="10" width="9.140625" style="5" customWidth="1"/>
    <col min="11" max="13" width="9.140625" style="5"/>
    <col min="14" max="14" width="9.140625" style="5" customWidth="1"/>
    <col min="15" max="16384" width="9.140625" style="5"/>
  </cols>
  <sheetData>
    <row r="1" spans="1:11" ht="19.5" customHeight="1" x14ac:dyDescent="0.2">
      <c r="A1" s="46" t="s">
        <v>59</v>
      </c>
      <c r="B1" s="47"/>
      <c r="C1" s="47"/>
      <c r="D1" s="47"/>
      <c r="E1" s="47"/>
    </row>
    <row r="2" spans="1:11" s="1" customFormat="1" ht="48" customHeight="1" x14ac:dyDescent="0.25">
      <c r="A2" s="48" t="s">
        <v>32</v>
      </c>
      <c r="B2" s="48"/>
      <c r="C2" s="48"/>
      <c r="D2" s="26" t="s">
        <v>38</v>
      </c>
      <c r="E2" s="27"/>
      <c r="F2" s="27"/>
      <c r="G2" s="26" t="s">
        <v>39</v>
      </c>
      <c r="H2" s="28"/>
      <c r="I2" s="28"/>
      <c r="J2" s="26" t="s">
        <v>40</v>
      </c>
      <c r="K2" s="26"/>
    </row>
    <row r="3" spans="1:11" ht="15" customHeight="1" x14ac:dyDescent="0.25">
      <c r="A3" s="2" t="s">
        <v>9</v>
      </c>
      <c r="B3" s="23">
        <v>8.5</v>
      </c>
      <c r="C3" s="3"/>
      <c r="D3" s="4"/>
      <c r="E3" s="4"/>
      <c r="F3" s="4"/>
      <c r="G3" s="4"/>
    </row>
    <row r="4" spans="1:11" ht="12.75" customHeight="1" x14ac:dyDescent="0.25">
      <c r="A4" s="2" t="s">
        <v>10</v>
      </c>
      <c r="B4" s="23" t="s">
        <v>60</v>
      </c>
      <c r="C4" s="3"/>
      <c r="D4" s="4"/>
      <c r="E4" s="4"/>
      <c r="F4" s="4"/>
      <c r="G4" s="4"/>
    </row>
    <row r="5" spans="1:11" ht="15" x14ac:dyDescent="0.25">
      <c r="A5" s="2" t="s">
        <v>11</v>
      </c>
      <c r="B5" s="23" t="s">
        <v>61</v>
      </c>
      <c r="C5" s="3"/>
      <c r="D5" s="4"/>
      <c r="E5" s="6"/>
      <c r="F5" s="4"/>
      <c r="G5" s="4"/>
    </row>
    <row r="6" spans="1:11" ht="16.5" customHeight="1" x14ac:dyDescent="0.25">
      <c r="A6" s="2" t="s">
        <v>12</v>
      </c>
      <c r="B6" s="23">
        <v>5600</v>
      </c>
      <c r="C6" s="3"/>
      <c r="D6" s="7"/>
      <c r="E6" s="7"/>
      <c r="F6" s="29" t="s">
        <v>41</v>
      </c>
      <c r="G6" s="50" t="s">
        <v>63</v>
      </c>
      <c r="H6" s="51"/>
      <c r="I6" s="30" t="s">
        <v>41</v>
      </c>
      <c r="J6" s="50" t="s">
        <v>64</v>
      </c>
      <c r="K6" s="51"/>
    </row>
    <row r="7" spans="1:11" ht="15" x14ac:dyDescent="0.25">
      <c r="A7" s="8" t="s">
        <v>13</v>
      </c>
      <c r="B7" s="23">
        <v>10.4</v>
      </c>
      <c r="C7" s="9" t="s">
        <v>14</v>
      </c>
      <c r="D7" s="10"/>
      <c r="E7" s="10"/>
      <c r="F7" s="10"/>
      <c r="G7" s="10"/>
    </row>
    <row r="8" spans="1:11" ht="15" x14ac:dyDescent="0.25">
      <c r="A8" s="8" t="s">
        <v>15</v>
      </c>
      <c r="B8" s="23">
        <v>3000</v>
      </c>
      <c r="C8" s="3">
        <f>Depth*MudWeight*0.052</f>
        <v>3028.48</v>
      </c>
    </row>
    <row r="9" spans="1:11" ht="15" customHeight="1" x14ac:dyDescent="0.25">
      <c r="A9" s="8" t="s">
        <v>16</v>
      </c>
      <c r="B9" s="23" t="s">
        <v>62</v>
      </c>
      <c r="C9" s="52" t="s">
        <v>33</v>
      </c>
      <c r="D9" s="52"/>
      <c r="E9" s="52"/>
      <c r="F9" s="52"/>
      <c r="G9" s="52"/>
      <c r="H9" s="52"/>
      <c r="I9" s="52"/>
    </row>
    <row r="10" spans="1:11" ht="13.5" customHeight="1" x14ac:dyDescent="0.25">
      <c r="A10" s="11" t="s">
        <v>17</v>
      </c>
      <c r="B10" s="23">
        <v>220</v>
      </c>
      <c r="C10" s="3"/>
      <c r="D10" s="12"/>
      <c r="E10" s="12"/>
      <c r="F10" s="12"/>
      <c r="G10" s="12"/>
    </row>
    <row r="11" spans="1:11" ht="13.5" customHeight="1" x14ac:dyDescent="0.25">
      <c r="A11" s="13" t="s">
        <v>18</v>
      </c>
      <c r="B11" s="23">
        <v>22</v>
      </c>
      <c r="C11" s="3"/>
      <c r="D11" s="12"/>
      <c r="E11" s="12"/>
      <c r="F11" s="12"/>
      <c r="G11" s="12"/>
    </row>
    <row r="12" spans="1:11" ht="15" x14ac:dyDescent="0.25">
      <c r="A12" s="14" t="s">
        <v>19</v>
      </c>
      <c r="B12" s="23">
        <v>430</v>
      </c>
      <c r="C12" s="3"/>
      <c r="D12" s="4"/>
      <c r="E12" s="15"/>
      <c r="F12" s="15"/>
      <c r="G12" s="15"/>
    </row>
    <row r="13" spans="1:11" ht="15" x14ac:dyDescent="0.25">
      <c r="A13" s="14" t="s">
        <v>20</v>
      </c>
      <c r="B13" s="23">
        <v>160</v>
      </c>
      <c r="C13" s="3"/>
      <c r="D13" s="4"/>
      <c r="E13" s="15"/>
      <c r="F13" s="15"/>
      <c r="G13" s="15"/>
    </row>
    <row r="14" spans="1:11" ht="15" x14ac:dyDescent="0.25">
      <c r="A14" s="14" t="s">
        <v>21</v>
      </c>
      <c r="B14" s="23"/>
      <c r="C14" s="24" t="s">
        <v>22</v>
      </c>
      <c r="D14" s="12"/>
      <c r="E14" s="15"/>
      <c r="F14" s="15"/>
      <c r="G14" s="15"/>
    </row>
    <row r="15" spans="1:11" ht="15" x14ac:dyDescent="0.25">
      <c r="A15" s="14" t="s">
        <v>23</v>
      </c>
      <c r="B15" s="23">
        <v>10</v>
      </c>
    </row>
    <row r="18" spans="1:7" x14ac:dyDescent="0.2">
      <c r="A18" s="16" t="s">
        <v>24</v>
      </c>
      <c r="B18" s="17"/>
      <c r="C18" s="17"/>
      <c r="D18" s="17"/>
      <c r="E18" s="17"/>
      <c r="F18" s="17"/>
      <c r="G18" s="17"/>
    </row>
    <row r="19" spans="1:7" x14ac:dyDescent="0.2">
      <c r="A19" s="49" t="s">
        <v>25</v>
      </c>
      <c r="B19" s="49"/>
      <c r="C19" s="49"/>
      <c r="D19" s="49"/>
      <c r="E19" s="49"/>
      <c r="F19" s="49"/>
      <c r="G19" s="49"/>
    </row>
    <row r="20" spans="1:7" x14ac:dyDescent="0.2">
      <c r="A20" s="18" t="s">
        <v>26</v>
      </c>
      <c r="B20" s="17"/>
      <c r="C20" s="17"/>
      <c r="D20" s="17"/>
      <c r="E20" s="17"/>
      <c r="F20" s="17"/>
      <c r="G20" s="17"/>
    </row>
    <row r="21" spans="1:7" x14ac:dyDescent="0.2">
      <c r="A21" s="19" t="s">
        <v>27</v>
      </c>
      <c r="B21" s="17"/>
      <c r="C21" s="17"/>
      <c r="D21" s="17"/>
      <c r="E21" s="17"/>
      <c r="F21" s="17"/>
      <c r="G21" s="17"/>
    </row>
    <row r="24" spans="1:7" ht="15.75" x14ac:dyDescent="0.25">
      <c r="A24" s="25" t="s">
        <v>37</v>
      </c>
      <c r="B24" s="31" t="s">
        <v>65</v>
      </c>
    </row>
  </sheetData>
  <mergeCells count="6">
    <mergeCell ref="A1:E1"/>
    <mergeCell ref="A2:C2"/>
    <mergeCell ref="A19:G19"/>
    <mergeCell ref="G6:H6"/>
    <mergeCell ref="J6:K6"/>
    <mergeCell ref="C9:I9"/>
  </mergeCells>
  <hyperlinks>
    <hyperlink ref="C9" r:id="rId1" xr:uid="{00000000-0004-0000-0000-000000000000}"/>
  </hyperlinks>
  <pageMargins left="0.7" right="0.7" top="0.75" bottom="0.75" header="0.3" footer="0.3"/>
  <pageSetup scale="87" orientation="portrait" r:id="rId2"/>
  <headerFooter>
    <oddFooter>&amp;C&amp;1#&amp;"Calibri"&amp;10 Schlumberger-Private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RelabelCharts">
              <controlPr defaultSize="0" print="0" autoFill="0" autoPict="0" macro="[0]!RelabelChartTitles">
                <anchor moveWithCells="1" sizeWithCells="1">
                  <from>
                    <xdr:col>2</xdr:col>
                    <xdr:colOff>28575</xdr:colOff>
                    <xdr:row>22</xdr:row>
                    <xdr:rowOff>47625</xdr:rowOff>
                  </from>
                  <to>
                    <xdr:col>2</xdr:col>
                    <xdr:colOff>1352550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ReadInputs">
              <controlPr defaultSize="0" print="0" autoFill="0" autoPict="0" macro="[0]!ReadInputs">
                <anchor moveWithCells="1" sizeWithCells="1">
                  <from>
                    <xdr:col>3</xdr:col>
                    <xdr:colOff>57150</xdr:colOff>
                    <xdr:row>2</xdr:row>
                    <xdr:rowOff>47625</xdr:rowOff>
                  </from>
                  <to>
                    <xdr:col>5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ReadTopsOFF">
              <controlPr defaultSize="0" print="0" autoFill="0" autoPict="0" macro="[0]!ReadSummary">
                <anchor moveWithCells="1" sizeWithCells="1">
                  <from>
                    <xdr:col>6</xdr:col>
                    <xdr:colOff>28575</xdr:colOff>
                    <xdr:row>2</xdr:row>
                    <xdr:rowOff>38100</xdr:rowOff>
                  </from>
                  <to>
                    <xdr:col>7</xdr:col>
                    <xdr:colOff>581025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ReadTopsON">
              <controlPr defaultSize="0" print="0" autoFill="0" autoPict="0" macro="[0]!ReadSummary">
                <anchor moveWithCells="1" sizeWithCells="1">
                  <from>
                    <xdr:col>9</xdr:col>
                    <xdr:colOff>57150</xdr:colOff>
                    <xdr:row>2</xdr:row>
                    <xdr:rowOff>47625</xdr:rowOff>
                  </from>
                  <to>
                    <xdr:col>10</xdr:col>
                    <xdr:colOff>523875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ReLimitCharts">
              <controlPr defaultSize="0" print="0" autoFill="0" autoPict="0" macro="[0]!ReLimitCharts">
                <anchor moveWithCells="1" sizeWithCells="1">
                  <from>
                    <xdr:col>2</xdr:col>
                    <xdr:colOff>28575</xdr:colOff>
                    <xdr:row>26</xdr:row>
                    <xdr:rowOff>47625</xdr:rowOff>
                  </from>
                  <to>
                    <xdr:col>2</xdr:col>
                    <xdr:colOff>1352550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ExportPlots">
              <controlPr defaultSize="0" print="0" autoFill="0" autoPict="0" macro="[0]!subSendToPPT">
                <anchor moveWithCells="1" sizeWithCells="1">
                  <from>
                    <xdr:col>3</xdr:col>
                    <xdr:colOff>28575</xdr:colOff>
                    <xdr:row>26</xdr:row>
                    <xdr:rowOff>47625</xdr:rowOff>
                  </from>
                  <to>
                    <xdr:col>5</xdr:col>
                    <xdr:colOff>133350</xdr:colOff>
                    <xdr:row>29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L39"/>
  <sheetViews>
    <sheetView zoomScaleNormal="100" workbookViewId="0">
      <selection activeCell="A5" sqref="A5:G23"/>
    </sheetView>
  </sheetViews>
  <sheetFormatPr defaultRowHeight="15" x14ac:dyDescent="0.25"/>
  <cols>
    <col min="12" max="12" width="68.42578125" customWidth="1"/>
  </cols>
  <sheetData>
    <row r="1" spans="1:12" x14ac:dyDescent="0.25">
      <c r="B1" s="20" t="s">
        <v>41</v>
      </c>
      <c r="C1" s="21" t="str">
        <f>Name5d</f>
        <v>67114A01</v>
      </c>
      <c r="I1">
        <f>MAX(E:E)</f>
        <v>7531.21</v>
      </c>
      <c r="J1" t="s">
        <v>35</v>
      </c>
      <c r="K1" s="20" t="s">
        <v>58</v>
      </c>
      <c r="L1" s="45" t="s">
        <v>67</v>
      </c>
    </row>
    <row r="2" spans="1:12" x14ac:dyDescent="0.25">
      <c r="I2">
        <f>MAX(D:D)</f>
        <v>366.79</v>
      </c>
      <c r="J2" t="s">
        <v>36</v>
      </c>
    </row>
    <row r="3" spans="1:12" x14ac:dyDescent="0.2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I3">
        <f>MAX(B:B)</f>
        <v>50017.29</v>
      </c>
      <c r="J3" t="s">
        <v>42</v>
      </c>
    </row>
    <row r="4" spans="1:12" x14ac:dyDescent="0.25">
      <c r="A4">
        <v>0</v>
      </c>
      <c r="B4">
        <v>0</v>
      </c>
      <c r="C4">
        <f>RPM</f>
        <v>160</v>
      </c>
      <c r="D4">
        <v>0</v>
      </c>
      <c r="E4">
        <v>0</v>
      </c>
      <c r="F4">
        <v>0</v>
      </c>
      <c r="G4">
        <v>0</v>
      </c>
      <c r="I4">
        <f>MAX(F:F)</f>
        <v>0.45800000000000002</v>
      </c>
      <c r="J4" t="s">
        <v>47</v>
      </c>
      <c r="L4" s="22"/>
    </row>
    <row r="5" spans="1:12" x14ac:dyDescent="0.25">
      <c r="A5">
        <v>1</v>
      </c>
      <c r="B5">
        <v>4987.25</v>
      </c>
      <c r="C5">
        <v>160</v>
      </c>
      <c r="D5">
        <v>28.13</v>
      </c>
      <c r="E5">
        <v>1244.0899999999999</v>
      </c>
      <c r="F5">
        <v>3.5000000000000003E-2</v>
      </c>
      <c r="G5">
        <v>5000</v>
      </c>
      <c r="L5" s="22"/>
    </row>
    <row r="6" spans="1:12" x14ac:dyDescent="0.25">
      <c r="A6">
        <v>2</v>
      </c>
      <c r="B6">
        <v>7509.02</v>
      </c>
      <c r="C6">
        <v>160</v>
      </c>
      <c r="D6">
        <v>48.75</v>
      </c>
      <c r="E6">
        <v>1751.44</v>
      </c>
      <c r="F6">
        <v>6.0999999999999999E-2</v>
      </c>
      <c r="G6">
        <v>7500</v>
      </c>
      <c r="L6" s="22"/>
    </row>
    <row r="7" spans="1:12" x14ac:dyDescent="0.25">
      <c r="A7">
        <v>3</v>
      </c>
      <c r="B7">
        <v>10026.58</v>
      </c>
      <c r="C7">
        <v>160</v>
      </c>
      <c r="D7">
        <v>70.88</v>
      </c>
      <c r="E7">
        <v>2226.02</v>
      </c>
      <c r="F7">
        <v>8.8999999999999996E-2</v>
      </c>
      <c r="G7">
        <v>10000</v>
      </c>
      <c r="L7" s="22"/>
    </row>
    <row r="8" spans="1:12" x14ac:dyDescent="0.25">
      <c r="A8">
        <v>4</v>
      </c>
      <c r="B8">
        <v>12494.17</v>
      </c>
      <c r="C8">
        <v>160</v>
      </c>
      <c r="D8">
        <v>93.31</v>
      </c>
      <c r="E8">
        <v>2672.31</v>
      </c>
      <c r="F8">
        <v>0.11700000000000001</v>
      </c>
      <c r="G8">
        <v>12500</v>
      </c>
      <c r="L8" s="22"/>
    </row>
    <row r="9" spans="1:12" x14ac:dyDescent="0.25">
      <c r="A9">
        <v>5</v>
      </c>
      <c r="B9">
        <v>14966.87</v>
      </c>
      <c r="C9">
        <v>160</v>
      </c>
      <c r="D9">
        <v>116.64</v>
      </c>
      <c r="E9">
        <v>3090.96</v>
      </c>
      <c r="F9">
        <v>0.14599999999999999</v>
      </c>
      <c r="G9">
        <v>15000</v>
      </c>
      <c r="L9" s="22"/>
    </row>
    <row r="10" spans="1:12" x14ac:dyDescent="0.25">
      <c r="A10">
        <v>6</v>
      </c>
      <c r="B10">
        <v>17525.82</v>
      </c>
      <c r="C10">
        <v>160</v>
      </c>
      <c r="D10">
        <v>141.37</v>
      </c>
      <c r="E10">
        <v>3497.83</v>
      </c>
      <c r="F10">
        <v>0.17699999999999999</v>
      </c>
      <c r="G10">
        <v>17500</v>
      </c>
      <c r="L10" s="22"/>
    </row>
    <row r="11" spans="1:12" x14ac:dyDescent="0.25">
      <c r="A11">
        <v>7</v>
      </c>
      <c r="B11">
        <v>19985.05</v>
      </c>
      <c r="C11">
        <v>160</v>
      </c>
      <c r="D11">
        <v>166.28</v>
      </c>
      <c r="E11">
        <v>3873.23</v>
      </c>
      <c r="F11">
        <v>0.20799999999999999</v>
      </c>
      <c r="G11">
        <v>20000</v>
      </c>
      <c r="L11" s="22"/>
    </row>
    <row r="12" spans="1:12" x14ac:dyDescent="0.25">
      <c r="A12">
        <v>8</v>
      </c>
      <c r="B12">
        <v>22454.19</v>
      </c>
      <c r="C12">
        <v>160</v>
      </c>
      <c r="D12">
        <v>189.8</v>
      </c>
      <c r="E12">
        <v>4197.25</v>
      </c>
      <c r="F12">
        <v>0.23699999999999999</v>
      </c>
      <c r="G12">
        <v>22500</v>
      </c>
      <c r="L12" s="22"/>
    </row>
    <row r="13" spans="1:12" x14ac:dyDescent="0.25">
      <c r="A13">
        <v>9</v>
      </c>
      <c r="B13">
        <v>24952.66</v>
      </c>
      <c r="C13">
        <v>160</v>
      </c>
      <c r="D13">
        <v>216.17</v>
      </c>
      <c r="E13">
        <v>4558.6899999999996</v>
      </c>
      <c r="F13">
        <v>0.27</v>
      </c>
      <c r="G13">
        <v>25000</v>
      </c>
      <c r="L13" s="22"/>
    </row>
    <row r="14" spans="1:12" x14ac:dyDescent="0.25">
      <c r="B14">
        <v>25355.884193548387</v>
      </c>
      <c r="C14">
        <v>160</v>
      </c>
      <c r="D14">
        <v>220.12</v>
      </c>
      <c r="E14">
        <v>4614.2416129032254</v>
      </c>
      <c r="F14">
        <v>0.27500000000000002</v>
      </c>
      <c r="L14" s="22"/>
    </row>
    <row r="15" spans="1:12" x14ac:dyDescent="0.25">
      <c r="A15">
        <v>10</v>
      </c>
      <c r="B15">
        <v>27452.65</v>
      </c>
      <c r="C15">
        <v>160</v>
      </c>
      <c r="D15">
        <v>240.66</v>
      </c>
      <c r="E15">
        <v>4903.1099999999997</v>
      </c>
      <c r="F15">
        <v>0.30099999999999999</v>
      </c>
      <c r="G15">
        <v>27500</v>
      </c>
      <c r="L15" s="22"/>
    </row>
    <row r="16" spans="1:12" x14ac:dyDescent="0.25">
      <c r="A16">
        <v>11</v>
      </c>
      <c r="B16">
        <v>30022.84</v>
      </c>
      <c r="C16">
        <v>160</v>
      </c>
      <c r="D16">
        <v>260.61</v>
      </c>
      <c r="E16">
        <v>5212.97</v>
      </c>
      <c r="F16">
        <v>0.32600000000000001</v>
      </c>
      <c r="G16">
        <v>30000</v>
      </c>
      <c r="L16" s="22"/>
    </row>
    <row r="17" spans="1:12" x14ac:dyDescent="0.25">
      <c r="A17">
        <v>12</v>
      </c>
      <c r="B17">
        <v>32465.85</v>
      </c>
      <c r="C17">
        <v>160</v>
      </c>
      <c r="D17">
        <v>280.56</v>
      </c>
      <c r="E17">
        <v>5535.26</v>
      </c>
      <c r="F17">
        <v>0.35099999999999998</v>
      </c>
      <c r="G17">
        <v>32500</v>
      </c>
      <c r="L17" s="22"/>
    </row>
    <row r="18" spans="1:12" x14ac:dyDescent="0.25">
      <c r="A18">
        <v>13</v>
      </c>
      <c r="B18">
        <v>35034.769999999997</v>
      </c>
      <c r="C18">
        <v>160</v>
      </c>
      <c r="D18">
        <v>298.94</v>
      </c>
      <c r="E18">
        <v>5869.1</v>
      </c>
      <c r="F18">
        <v>0.374</v>
      </c>
      <c r="G18">
        <v>35000</v>
      </c>
    </row>
    <row r="19" spans="1:12" x14ac:dyDescent="0.25">
      <c r="A19">
        <v>14</v>
      </c>
      <c r="B19">
        <v>37959.89</v>
      </c>
      <c r="C19">
        <v>160</v>
      </c>
      <c r="D19">
        <v>315.23</v>
      </c>
      <c r="E19">
        <v>6211.4</v>
      </c>
      <c r="F19">
        <v>0.39400000000000002</v>
      </c>
      <c r="G19">
        <v>37500</v>
      </c>
    </row>
    <row r="20" spans="1:12" x14ac:dyDescent="0.25">
      <c r="A20">
        <v>15</v>
      </c>
      <c r="B20">
        <v>40028.730000000003</v>
      </c>
      <c r="C20">
        <v>160</v>
      </c>
      <c r="D20">
        <v>325.07</v>
      </c>
      <c r="E20">
        <v>6436.67</v>
      </c>
      <c r="F20">
        <v>0.40600000000000003</v>
      </c>
      <c r="G20">
        <v>40000</v>
      </c>
    </row>
    <row r="21" spans="1:12" x14ac:dyDescent="0.25">
      <c r="A21">
        <v>16</v>
      </c>
      <c r="B21">
        <v>42477.63</v>
      </c>
      <c r="C21">
        <v>160</v>
      </c>
      <c r="D21">
        <v>336.68</v>
      </c>
      <c r="E21">
        <v>6712</v>
      </c>
      <c r="F21">
        <v>0.42099999999999999</v>
      </c>
      <c r="G21">
        <v>42500</v>
      </c>
    </row>
    <row r="22" spans="1:12" x14ac:dyDescent="0.25">
      <c r="A22">
        <v>17</v>
      </c>
      <c r="B22">
        <v>44977.29</v>
      </c>
      <c r="C22">
        <v>160</v>
      </c>
      <c r="D22">
        <v>349.74</v>
      </c>
      <c r="E22">
        <v>7060.4</v>
      </c>
      <c r="F22">
        <v>0.437</v>
      </c>
      <c r="G22">
        <v>45000</v>
      </c>
    </row>
    <row r="23" spans="1:12" x14ac:dyDescent="0.25">
      <c r="A23">
        <v>18</v>
      </c>
      <c r="B23">
        <v>47488.55</v>
      </c>
      <c r="C23">
        <v>160</v>
      </c>
      <c r="D23">
        <v>356.99</v>
      </c>
      <c r="E23">
        <v>7266.4</v>
      </c>
      <c r="F23">
        <v>0.44600000000000001</v>
      </c>
      <c r="G23">
        <v>47500</v>
      </c>
    </row>
    <row r="24" spans="1:12" x14ac:dyDescent="0.25">
      <c r="A24">
        <v>19</v>
      </c>
      <c r="B24">
        <v>50017.29</v>
      </c>
      <c r="C24">
        <v>160</v>
      </c>
      <c r="D24">
        <v>366.79</v>
      </c>
      <c r="E24">
        <v>7531.21</v>
      </c>
      <c r="F24">
        <v>0.45800000000000002</v>
      </c>
      <c r="G24">
        <v>50000</v>
      </c>
    </row>
    <row r="27" spans="1:12" x14ac:dyDescent="0.25">
      <c r="L27" s="22"/>
    </row>
    <row r="28" spans="1:12" x14ac:dyDescent="0.25">
      <c r="L28" s="22"/>
    </row>
    <row r="29" spans="1:12" x14ac:dyDescent="0.25">
      <c r="L29" s="22"/>
    </row>
    <row r="30" spans="1:12" x14ac:dyDescent="0.25">
      <c r="L30" s="22"/>
    </row>
    <row r="31" spans="1:12" x14ac:dyDescent="0.25">
      <c r="L31" s="22"/>
    </row>
    <row r="32" spans="1:12" x14ac:dyDescent="0.25">
      <c r="L32" s="22"/>
    </row>
    <row r="33" spans="12:12" x14ac:dyDescent="0.25">
      <c r="L33" s="22"/>
    </row>
    <row r="34" spans="12:12" x14ac:dyDescent="0.25">
      <c r="L34" s="22"/>
    </row>
    <row r="35" spans="12:12" x14ac:dyDescent="0.25">
      <c r="L35" s="22"/>
    </row>
    <row r="36" spans="12:12" x14ac:dyDescent="0.25">
      <c r="L36" s="22"/>
    </row>
    <row r="37" spans="12:12" x14ac:dyDescent="0.25">
      <c r="L37" s="22"/>
    </row>
    <row r="38" spans="12:12" x14ac:dyDescent="0.25">
      <c r="L38" s="22"/>
    </row>
    <row r="39" spans="12:12" x14ac:dyDescent="0.25">
      <c r="L39" s="2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L24"/>
  <sheetViews>
    <sheetView workbookViewId="0">
      <selection activeCell="A5" sqref="A5:G23"/>
    </sheetView>
  </sheetViews>
  <sheetFormatPr defaultRowHeight="15" x14ac:dyDescent="0.25"/>
  <cols>
    <col min="3" max="3" width="11.140625" customWidth="1"/>
    <col min="12" max="12" width="72.7109375" customWidth="1"/>
    <col min="14" max="14" width="9.28515625" bestFit="1" customWidth="1"/>
  </cols>
  <sheetData>
    <row r="1" spans="1:12" x14ac:dyDescent="0.25">
      <c r="A1" t="s">
        <v>0</v>
      </c>
      <c r="C1" s="33" t="str">
        <f>Name8d</f>
        <v>67114A01_MDOCs</v>
      </c>
      <c r="I1">
        <f>MAX(E:E)</f>
        <v>9354.6299999999992</v>
      </c>
      <c r="J1" t="s">
        <v>35</v>
      </c>
      <c r="K1" s="20" t="s">
        <v>58</v>
      </c>
      <c r="L1" s="45" t="s">
        <v>66</v>
      </c>
    </row>
    <row r="2" spans="1:12" x14ac:dyDescent="0.25">
      <c r="C2" s="32"/>
      <c r="I2">
        <f>MAX(D:D)</f>
        <v>301.10000000000002</v>
      </c>
      <c r="J2" t="s">
        <v>36</v>
      </c>
    </row>
    <row r="3" spans="1:12" x14ac:dyDescent="0.2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I3">
        <f>MAX(B:B)</f>
        <v>49577.75</v>
      </c>
      <c r="J3" t="s">
        <v>42</v>
      </c>
    </row>
    <row r="4" spans="1:12" x14ac:dyDescent="0.25">
      <c r="A4">
        <v>0</v>
      </c>
      <c r="B4">
        <v>0</v>
      </c>
      <c r="C4">
        <f>RPM</f>
        <v>160</v>
      </c>
      <c r="D4">
        <v>0</v>
      </c>
      <c r="E4">
        <v>0</v>
      </c>
      <c r="F4">
        <v>0</v>
      </c>
      <c r="G4">
        <v>0</v>
      </c>
      <c r="I4">
        <f>MAX(F:F)</f>
        <v>0.376</v>
      </c>
      <c r="J4" t="s">
        <v>47</v>
      </c>
    </row>
    <row r="5" spans="1:12" x14ac:dyDescent="0.25">
      <c r="A5">
        <v>1</v>
      </c>
      <c r="B5">
        <v>4987.25</v>
      </c>
      <c r="C5">
        <v>160</v>
      </c>
      <c r="D5">
        <v>28.13</v>
      </c>
      <c r="E5">
        <v>1244.0899999999999</v>
      </c>
      <c r="F5">
        <v>3.5000000000000003E-2</v>
      </c>
      <c r="G5">
        <v>5000</v>
      </c>
    </row>
    <row r="6" spans="1:12" x14ac:dyDescent="0.25">
      <c r="A6">
        <v>2</v>
      </c>
      <c r="B6">
        <v>7509.02</v>
      </c>
      <c r="C6">
        <v>160</v>
      </c>
      <c r="D6">
        <v>48.75</v>
      </c>
      <c r="E6">
        <v>1751.44</v>
      </c>
      <c r="F6">
        <v>6.0999999999999999E-2</v>
      </c>
      <c r="G6">
        <v>7500</v>
      </c>
    </row>
    <row r="7" spans="1:12" x14ac:dyDescent="0.25">
      <c r="A7">
        <v>3</v>
      </c>
      <c r="B7">
        <v>10026.58</v>
      </c>
      <c r="C7">
        <v>160</v>
      </c>
      <c r="D7">
        <v>70.88</v>
      </c>
      <c r="E7">
        <v>2226.02</v>
      </c>
      <c r="F7">
        <v>8.8999999999999996E-2</v>
      </c>
      <c r="G7">
        <v>10000</v>
      </c>
    </row>
    <row r="8" spans="1:12" x14ac:dyDescent="0.25">
      <c r="A8">
        <v>4</v>
      </c>
      <c r="B8">
        <v>12496.09</v>
      </c>
      <c r="C8">
        <v>160</v>
      </c>
      <c r="D8">
        <v>93.31</v>
      </c>
      <c r="E8">
        <v>2672.36</v>
      </c>
      <c r="F8">
        <v>0.11700000000000001</v>
      </c>
      <c r="G8">
        <v>12500</v>
      </c>
    </row>
    <row r="9" spans="1:12" x14ac:dyDescent="0.25">
      <c r="A9">
        <v>5</v>
      </c>
      <c r="B9">
        <v>14972.96</v>
      </c>
      <c r="C9">
        <v>160</v>
      </c>
      <c r="D9">
        <v>116.64</v>
      </c>
      <c r="E9">
        <v>3091.1</v>
      </c>
      <c r="F9">
        <v>0.14599999999999999</v>
      </c>
      <c r="G9">
        <v>15000</v>
      </c>
    </row>
    <row r="10" spans="1:12" x14ac:dyDescent="0.25">
      <c r="A10">
        <v>6</v>
      </c>
      <c r="B10">
        <v>17463.91</v>
      </c>
      <c r="C10">
        <v>160</v>
      </c>
      <c r="D10">
        <v>139.97</v>
      </c>
      <c r="E10">
        <v>3487.48</v>
      </c>
      <c r="F10">
        <v>0.17499999999999999</v>
      </c>
      <c r="G10">
        <v>17500</v>
      </c>
    </row>
    <row r="11" spans="1:12" x14ac:dyDescent="0.25">
      <c r="A11">
        <v>7</v>
      </c>
      <c r="B11">
        <v>20046.580000000002</v>
      </c>
      <c r="C11">
        <v>160</v>
      </c>
      <c r="D11">
        <v>160.96</v>
      </c>
      <c r="E11">
        <v>3879.54</v>
      </c>
      <c r="F11">
        <v>0.20100000000000001</v>
      </c>
      <c r="G11">
        <v>20000</v>
      </c>
    </row>
    <row r="12" spans="1:12" x14ac:dyDescent="0.25">
      <c r="A12">
        <v>8</v>
      </c>
      <c r="B12">
        <v>22521.5</v>
      </c>
      <c r="C12">
        <v>160</v>
      </c>
      <c r="D12">
        <v>177.83</v>
      </c>
      <c r="E12">
        <v>4273.08</v>
      </c>
      <c r="F12">
        <v>0.222</v>
      </c>
      <c r="G12">
        <v>22500</v>
      </c>
    </row>
    <row r="13" spans="1:12" x14ac:dyDescent="0.25">
      <c r="A13">
        <v>9</v>
      </c>
      <c r="B13">
        <v>24952.12</v>
      </c>
      <c r="C13">
        <v>160</v>
      </c>
      <c r="D13">
        <v>194</v>
      </c>
      <c r="E13">
        <v>4705.43</v>
      </c>
      <c r="F13">
        <v>0.24199999999999999</v>
      </c>
      <c r="G13">
        <v>25000</v>
      </c>
    </row>
    <row r="14" spans="1:12" x14ac:dyDescent="0.25">
      <c r="A14">
        <v>10</v>
      </c>
      <c r="B14">
        <v>27450.2</v>
      </c>
      <c r="C14">
        <v>160</v>
      </c>
      <c r="D14">
        <v>209.11</v>
      </c>
      <c r="E14">
        <v>5165.17</v>
      </c>
      <c r="F14">
        <v>0.26100000000000001</v>
      </c>
      <c r="G14">
        <v>27500</v>
      </c>
    </row>
    <row r="15" spans="1:12" x14ac:dyDescent="0.25">
      <c r="B15">
        <v>29713.641250000001</v>
      </c>
      <c r="C15">
        <v>160</v>
      </c>
      <c r="D15">
        <v>220.13500000000002</v>
      </c>
      <c r="E15">
        <v>5571.1</v>
      </c>
      <c r="F15">
        <v>0.27500000000000002</v>
      </c>
    </row>
    <row r="16" spans="1:12" x14ac:dyDescent="0.25">
      <c r="A16">
        <v>11</v>
      </c>
      <c r="B16">
        <v>30036.99</v>
      </c>
      <c r="C16">
        <v>160</v>
      </c>
      <c r="D16">
        <v>221.71</v>
      </c>
      <c r="E16">
        <v>5629.09</v>
      </c>
      <c r="F16">
        <v>0.27700000000000002</v>
      </c>
      <c r="G16">
        <v>30000</v>
      </c>
    </row>
    <row r="17" spans="1:7" x14ac:dyDescent="0.25">
      <c r="A17">
        <v>12</v>
      </c>
      <c r="B17">
        <v>32502.13</v>
      </c>
      <c r="C17">
        <v>160</v>
      </c>
      <c r="D17">
        <v>233.55</v>
      </c>
      <c r="E17">
        <v>6107.13</v>
      </c>
      <c r="F17">
        <v>0.29199999999999998</v>
      </c>
      <c r="G17">
        <v>32500</v>
      </c>
    </row>
    <row r="18" spans="1:7" x14ac:dyDescent="0.25">
      <c r="A18">
        <v>13</v>
      </c>
      <c r="B18">
        <v>35020.85</v>
      </c>
      <c r="C18">
        <v>160</v>
      </c>
      <c r="D18">
        <v>244.89</v>
      </c>
      <c r="E18">
        <v>6587.83</v>
      </c>
      <c r="F18">
        <v>0.30599999999999999</v>
      </c>
      <c r="G18">
        <v>35000</v>
      </c>
    </row>
    <row r="19" spans="1:7" x14ac:dyDescent="0.25">
      <c r="A19">
        <v>14</v>
      </c>
      <c r="B19">
        <v>37490.9</v>
      </c>
      <c r="C19">
        <v>160</v>
      </c>
      <c r="D19">
        <v>256.98</v>
      </c>
      <c r="E19">
        <v>7142.22</v>
      </c>
      <c r="F19">
        <v>0.32100000000000001</v>
      </c>
      <c r="G19">
        <v>37500</v>
      </c>
    </row>
    <row r="20" spans="1:7" x14ac:dyDescent="0.25">
      <c r="A20">
        <v>15</v>
      </c>
      <c r="B20">
        <v>39960.550000000003</v>
      </c>
      <c r="C20">
        <v>160</v>
      </c>
      <c r="D20">
        <v>266.05</v>
      </c>
      <c r="E20">
        <v>7578.82</v>
      </c>
      <c r="F20">
        <v>0.33300000000000002</v>
      </c>
      <c r="G20">
        <v>40000</v>
      </c>
    </row>
    <row r="21" spans="1:7" x14ac:dyDescent="0.25">
      <c r="A21">
        <v>16</v>
      </c>
      <c r="B21">
        <v>42514.14</v>
      </c>
      <c r="C21">
        <v>160</v>
      </c>
      <c r="D21">
        <v>275.73</v>
      </c>
      <c r="E21">
        <v>8047.63</v>
      </c>
      <c r="F21">
        <v>0.34499999999999997</v>
      </c>
      <c r="G21">
        <v>42500</v>
      </c>
    </row>
    <row r="22" spans="1:7" x14ac:dyDescent="0.25">
      <c r="A22">
        <v>17</v>
      </c>
      <c r="B22">
        <v>44966.51</v>
      </c>
      <c r="C22">
        <v>160</v>
      </c>
      <c r="D22">
        <v>285.7</v>
      </c>
      <c r="E22">
        <v>8531.0300000000007</v>
      </c>
      <c r="F22">
        <v>0.35699999999999998</v>
      </c>
      <c r="G22">
        <v>45000</v>
      </c>
    </row>
    <row r="23" spans="1:7" x14ac:dyDescent="0.25">
      <c r="A23">
        <v>18</v>
      </c>
      <c r="B23">
        <v>47521.25</v>
      </c>
      <c r="C23">
        <v>160</v>
      </c>
      <c r="D23">
        <v>292.95999999999998</v>
      </c>
      <c r="E23">
        <v>8907.8700000000008</v>
      </c>
      <c r="F23">
        <v>0.36599999999999999</v>
      </c>
      <c r="G23">
        <v>47500</v>
      </c>
    </row>
    <row r="24" spans="1:7" x14ac:dyDescent="0.25">
      <c r="A24">
        <v>19</v>
      </c>
      <c r="B24">
        <v>49577.75</v>
      </c>
      <c r="C24">
        <v>160</v>
      </c>
      <c r="D24">
        <v>301.10000000000002</v>
      </c>
      <c r="E24">
        <v>9354.6299999999992</v>
      </c>
      <c r="F24">
        <v>0.376</v>
      </c>
      <c r="G24">
        <v>50000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36"/>
  <sheetViews>
    <sheetView workbookViewId="0">
      <selection activeCell="M18" sqref="M18:M19"/>
    </sheetView>
  </sheetViews>
  <sheetFormatPr defaultRowHeight="15" x14ac:dyDescent="0.25"/>
  <cols>
    <col min="1" max="1" width="13.42578125" bestFit="1" customWidth="1"/>
    <col min="2" max="2" width="9" bestFit="1" customWidth="1"/>
    <col min="3" max="3" width="13.28515625" bestFit="1" customWidth="1"/>
    <col min="4" max="4" width="9.5703125" bestFit="1" customWidth="1"/>
    <col min="5" max="5" width="8.85546875" bestFit="1" customWidth="1"/>
    <col min="6" max="6" width="11" bestFit="1" customWidth="1"/>
    <col min="7" max="7" width="20.42578125" customWidth="1"/>
    <col min="8" max="8" width="11.42578125" customWidth="1"/>
    <col min="9" max="9" width="20.28515625" bestFit="1" customWidth="1"/>
  </cols>
  <sheetData>
    <row r="1" spans="1:12" x14ac:dyDescent="0.25">
      <c r="C1" t="s">
        <v>8</v>
      </c>
    </row>
    <row r="2" spans="1:12" x14ac:dyDescent="0.25">
      <c r="H2" t="s">
        <v>46</v>
      </c>
      <c r="I2" t="s">
        <v>29</v>
      </c>
      <c r="J2" t="s">
        <v>45</v>
      </c>
      <c r="K2" t="s">
        <v>43</v>
      </c>
      <c r="L2" t="s">
        <v>44</v>
      </c>
    </row>
    <row r="3" spans="1:12" x14ac:dyDescent="0.25">
      <c r="A3" t="s">
        <v>28</v>
      </c>
      <c r="B3" t="s">
        <v>2</v>
      </c>
      <c r="C3" t="s">
        <v>6</v>
      </c>
      <c r="E3" t="s">
        <v>34</v>
      </c>
      <c r="H3" t="s">
        <v>31</v>
      </c>
      <c r="I3" t="s">
        <v>31</v>
      </c>
      <c r="J3" t="s">
        <v>30</v>
      </c>
      <c r="K3" t="s">
        <v>30</v>
      </c>
    </row>
    <row r="4" spans="1:12" x14ac:dyDescent="0.25">
      <c r="B4">
        <v>0</v>
      </c>
      <c r="C4">
        <f t="shared" ref="C4:C36" si="0">AverageROP/RPM*0.2</f>
        <v>0.27500000000000002</v>
      </c>
      <c r="E4">
        <f t="shared" ref="E4:E36" si="1">RPM</f>
        <v>160</v>
      </c>
      <c r="H4">
        <v>0</v>
      </c>
      <c r="I4">
        <f>AverageWOB*1000</f>
        <v>22000</v>
      </c>
      <c r="J4">
        <v>0</v>
      </c>
      <c r="K4">
        <v>0</v>
      </c>
      <c r="L4">
        <v>0</v>
      </c>
    </row>
    <row r="5" spans="1:12" x14ac:dyDescent="0.25">
      <c r="B5">
        <v>2500</v>
      </c>
      <c r="C5">
        <f t="shared" si="0"/>
        <v>0.27500000000000002</v>
      </c>
      <c r="E5">
        <f t="shared" si="1"/>
        <v>160</v>
      </c>
      <c r="H5">
        <f>IF(CEILING(MaxWOB5Dig,5000)&gt;CEILING(MaxWOB8Dig,5000),CEILING(MaxWOB5Dig,5000),CEILING(MaxWOB8Dig,5000))</f>
        <v>55000</v>
      </c>
      <c r="I5">
        <f>AverageWOB*1000</f>
        <v>22000</v>
      </c>
      <c r="J5">
        <f>IF(CEILING(MaxDOC5Dig,0.2)&gt;CEILING(MaxDOC8Dig,0.2),CEILING(MaxDOC5Dig,0.2),CEILING(MaxDOC8Dig,0.2))</f>
        <v>0.60000000000000009</v>
      </c>
      <c r="K5">
        <f>IF(CEILING(MaxTq5Dig,1000)&gt;CEILING(MaxTq8Dig,1000),CEILING(MaxTq5Dig,1000)+1000,CEILING(MaxTq8Dig,1000)+1000)</f>
        <v>11000</v>
      </c>
      <c r="L5">
        <f>IF(CEILING(MaxROP5Dig,50)&gt;CEILING(MaxROP8Dig,50),CEILING(MaxROP5Dig,50)+50,CEILING(MaxROP8Dig,50)+50)</f>
        <v>450</v>
      </c>
    </row>
    <row r="6" spans="1:12" x14ac:dyDescent="0.25">
      <c r="B6">
        <v>5000</v>
      </c>
      <c r="C6">
        <f t="shared" si="0"/>
        <v>0.27500000000000002</v>
      </c>
      <c r="E6">
        <f t="shared" si="1"/>
        <v>160</v>
      </c>
    </row>
    <row r="7" spans="1:12" x14ac:dyDescent="0.25">
      <c r="B7">
        <v>7500</v>
      </c>
      <c r="C7">
        <f t="shared" si="0"/>
        <v>0.27500000000000002</v>
      </c>
      <c r="E7">
        <f t="shared" si="1"/>
        <v>160</v>
      </c>
    </row>
    <row r="8" spans="1:12" x14ac:dyDescent="0.25">
      <c r="B8">
        <v>10000</v>
      </c>
      <c r="C8">
        <f t="shared" si="0"/>
        <v>0.27500000000000002</v>
      </c>
      <c r="E8">
        <f t="shared" si="1"/>
        <v>160</v>
      </c>
    </row>
    <row r="9" spans="1:12" x14ac:dyDescent="0.25">
      <c r="B9">
        <v>12500</v>
      </c>
      <c r="C9">
        <f t="shared" si="0"/>
        <v>0.27500000000000002</v>
      </c>
      <c r="E9">
        <f t="shared" si="1"/>
        <v>160</v>
      </c>
    </row>
    <row r="10" spans="1:12" x14ac:dyDescent="0.25">
      <c r="B10">
        <v>15000</v>
      </c>
      <c r="C10">
        <f t="shared" si="0"/>
        <v>0.27500000000000002</v>
      </c>
      <c r="E10">
        <f t="shared" si="1"/>
        <v>160</v>
      </c>
    </row>
    <row r="11" spans="1:12" x14ac:dyDescent="0.25">
      <c r="B11">
        <v>17500</v>
      </c>
      <c r="C11">
        <f t="shared" si="0"/>
        <v>0.27500000000000002</v>
      </c>
      <c r="E11">
        <f t="shared" si="1"/>
        <v>160</v>
      </c>
    </row>
    <row r="12" spans="1:12" x14ac:dyDescent="0.25">
      <c r="B12">
        <v>20000</v>
      </c>
      <c r="C12">
        <f t="shared" si="0"/>
        <v>0.27500000000000002</v>
      </c>
      <c r="E12">
        <f t="shared" si="1"/>
        <v>160</v>
      </c>
    </row>
    <row r="13" spans="1:12" x14ac:dyDescent="0.25">
      <c r="B13">
        <v>22500</v>
      </c>
      <c r="C13">
        <f t="shared" si="0"/>
        <v>0.27500000000000002</v>
      </c>
      <c r="E13">
        <f t="shared" si="1"/>
        <v>160</v>
      </c>
    </row>
    <row r="14" spans="1:12" x14ac:dyDescent="0.25">
      <c r="B14">
        <v>25000</v>
      </c>
      <c r="C14">
        <f t="shared" si="0"/>
        <v>0.27500000000000002</v>
      </c>
      <c r="E14">
        <f t="shared" si="1"/>
        <v>160</v>
      </c>
    </row>
    <row r="15" spans="1:12" x14ac:dyDescent="0.25">
      <c r="B15">
        <v>27500</v>
      </c>
      <c r="C15">
        <f t="shared" si="0"/>
        <v>0.27500000000000002</v>
      </c>
      <c r="E15">
        <f t="shared" si="1"/>
        <v>160</v>
      </c>
    </row>
    <row r="16" spans="1:12" x14ac:dyDescent="0.25">
      <c r="B16">
        <v>30000</v>
      </c>
      <c r="C16">
        <f t="shared" si="0"/>
        <v>0.27500000000000002</v>
      </c>
      <c r="E16">
        <f t="shared" si="1"/>
        <v>160</v>
      </c>
    </row>
    <row r="17" spans="2:5" x14ac:dyDescent="0.25">
      <c r="B17">
        <v>32500</v>
      </c>
      <c r="C17">
        <f t="shared" si="0"/>
        <v>0.27500000000000002</v>
      </c>
      <c r="E17">
        <f t="shared" si="1"/>
        <v>160</v>
      </c>
    </row>
    <row r="18" spans="2:5" x14ac:dyDescent="0.25">
      <c r="B18">
        <v>35000</v>
      </c>
      <c r="C18">
        <f t="shared" si="0"/>
        <v>0.27500000000000002</v>
      </c>
      <c r="E18">
        <f t="shared" si="1"/>
        <v>160</v>
      </c>
    </row>
    <row r="19" spans="2:5" x14ac:dyDescent="0.25">
      <c r="B19">
        <v>37500</v>
      </c>
      <c r="C19">
        <f t="shared" si="0"/>
        <v>0.27500000000000002</v>
      </c>
      <c r="E19">
        <f t="shared" si="1"/>
        <v>160</v>
      </c>
    </row>
    <row r="20" spans="2:5" x14ac:dyDescent="0.25">
      <c r="B20">
        <v>40000</v>
      </c>
      <c r="C20">
        <f t="shared" si="0"/>
        <v>0.27500000000000002</v>
      </c>
      <c r="E20">
        <f t="shared" si="1"/>
        <v>160</v>
      </c>
    </row>
    <row r="21" spans="2:5" x14ac:dyDescent="0.25">
      <c r="B21">
        <v>42500</v>
      </c>
      <c r="C21">
        <f t="shared" si="0"/>
        <v>0.27500000000000002</v>
      </c>
      <c r="E21">
        <f t="shared" si="1"/>
        <v>160</v>
      </c>
    </row>
    <row r="22" spans="2:5" x14ac:dyDescent="0.25">
      <c r="B22">
        <v>45000</v>
      </c>
      <c r="C22">
        <f t="shared" si="0"/>
        <v>0.27500000000000002</v>
      </c>
      <c r="E22">
        <f t="shared" si="1"/>
        <v>160</v>
      </c>
    </row>
    <row r="23" spans="2:5" x14ac:dyDescent="0.25">
      <c r="B23">
        <v>47500</v>
      </c>
      <c r="C23">
        <f t="shared" si="0"/>
        <v>0.27500000000000002</v>
      </c>
      <c r="E23">
        <f t="shared" si="1"/>
        <v>160</v>
      </c>
    </row>
    <row r="24" spans="2:5" x14ac:dyDescent="0.25">
      <c r="B24">
        <v>50000</v>
      </c>
      <c r="C24">
        <f t="shared" si="0"/>
        <v>0.27500000000000002</v>
      </c>
      <c r="E24">
        <f t="shared" si="1"/>
        <v>160</v>
      </c>
    </row>
    <row r="25" spans="2:5" x14ac:dyDescent="0.25">
      <c r="B25">
        <v>52500</v>
      </c>
      <c r="C25">
        <f t="shared" si="0"/>
        <v>0.27500000000000002</v>
      </c>
      <c r="E25">
        <f t="shared" si="1"/>
        <v>160</v>
      </c>
    </row>
    <row r="26" spans="2:5" x14ac:dyDescent="0.25">
      <c r="B26">
        <v>55000</v>
      </c>
      <c r="C26">
        <f t="shared" si="0"/>
        <v>0.27500000000000002</v>
      </c>
      <c r="E26">
        <f t="shared" si="1"/>
        <v>160</v>
      </c>
    </row>
    <row r="27" spans="2:5" x14ac:dyDescent="0.25">
      <c r="B27">
        <v>57500</v>
      </c>
      <c r="C27">
        <f t="shared" si="0"/>
        <v>0.27500000000000002</v>
      </c>
      <c r="E27">
        <f t="shared" si="1"/>
        <v>160</v>
      </c>
    </row>
    <row r="28" spans="2:5" x14ac:dyDescent="0.25">
      <c r="B28">
        <v>60000</v>
      </c>
      <c r="C28">
        <f t="shared" si="0"/>
        <v>0.27500000000000002</v>
      </c>
      <c r="E28">
        <f t="shared" si="1"/>
        <v>160</v>
      </c>
    </row>
    <row r="29" spans="2:5" x14ac:dyDescent="0.25">
      <c r="B29">
        <v>62500</v>
      </c>
      <c r="C29">
        <f t="shared" si="0"/>
        <v>0.27500000000000002</v>
      </c>
      <c r="E29">
        <f t="shared" si="1"/>
        <v>160</v>
      </c>
    </row>
    <row r="30" spans="2:5" x14ac:dyDescent="0.25">
      <c r="B30">
        <v>65000</v>
      </c>
      <c r="C30">
        <f t="shared" si="0"/>
        <v>0.27500000000000002</v>
      </c>
      <c r="E30">
        <f t="shared" si="1"/>
        <v>160</v>
      </c>
    </row>
    <row r="31" spans="2:5" x14ac:dyDescent="0.25">
      <c r="B31">
        <v>67500</v>
      </c>
      <c r="C31">
        <f t="shared" si="0"/>
        <v>0.27500000000000002</v>
      </c>
      <c r="E31">
        <f t="shared" si="1"/>
        <v>160</v>
      </c>
    </row>
    <row r="32" spans="2:5" x14ac:dyDescent="0.25">
      <c r="B32">
        <v>70000</v>
      </c>
      <c r="C32">
        <f t="shared" si="0"/>
        <v>0.27500000000000002</v>
      </c>
      <c r="E32">
        <f t="shared" si="1"/>
        <v>160</v>
      </c>
    </row>
    <row r="33" spans="2:5" x14ac:dyDescent="0.25">
      <c r="B33">
        <v>72500</v>
      </c>
      <c r="C33">
        <f t="shared" si="0"/>
        <v>0.27500000000000002</v>
      </c>
      <c r="E33">
        <f t="shared" si="1"/>
        <v>160</v>
      </c>
    </row>
    <row r="34" spans="2:5" x14ac:dyDescent="0.25">
      <c r="B34">
        <v>75000</v>
      </c>
      <c r="C34">
        <f t="shared" si="0"/>
        <v>0.27500000000000002</v>
      </c>
      <c r="E34">
        <f t="shared" si="1"/>
        <v>160</v>
      </c>
    </row>
    <row r="35" spans="2:5" x14ac:dyDescent="0.25">
      <c r="B35">
        <v>77500</v>
      </c>
      <c r="C35">
        <f t="shared" si="0"/>
        <v>0.27500000000000002</v>
      </c>
      <c r="E35">
        <f t="shared" si="1"/>
        <v>160</v>
      </c>
    </row>
    <row r="36" spans="2:5" x14ac:dyDescent="0.25">
      <c r="B36">
        <v>80000</v>
      </c>
      <c r="C36">
        <f t="shared" si="0"/>
        <v>0.27500000000000002</v>
      </c>
      <c r="E36">
        <f t="shared" si="1"/>
        <v>160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7"/>
  <dimension ref="A1:F14"/>
  <sheetViews>
    <sheetView workbookViewId="0">
      <selection activeCell="F4" sqref="F4"/>
    </sheetView>
  </sheetViews>
  <sheetFormatPr defaultRowHeight="15" x14ac:dyDescent="0.25"/>
  <cols>
    <col min="1" max="1" width="15.140625" bestFit="1" customWidth="1"/>
    <col min="2" max="2" width="5" customWidth="1"/>
    <col min="5" max="5" width="11.140625" customWidth="1"/>
    <col min="6" max="6" width="60.5703125" customWidth="1"/>
  </cols>
  <sheetData>
    <row r="1" spans="1:6" x14ac:dyDescent="0.25">
      <c r="A1" t="s">
        <v>48</v>
      </c>
      <c r="B1">
        <v>4010</v>
      </c>
      <c r="E1" s="53" t="s">
        <v>49</v>
      </c>
      <c r="F1" s="53"/>
    </row>
    <row r="2" spans="1:6" s="35" customFormat="1" ht="17.25" customHeight="1" x14ac:dyDescent="0.25">
      <c r="A2" s="35" t="s">
        <v>50</v>
      </c>
      <c r="B2" s="34">
        <v>4100</v>
      </c>
      <c r="E2" s="36" t="s">
        <v>51</v>
      </c>
      <c r="F2" s="43" t="s">
        <v>52</v>
      </c>
    </row>
    <row r="3" spans="1:6" s="37" customFormat="1" ht="27.75" customHeight="1" x14ac:dyDescent="0.25">
      <c r="B3" s="34"/>
      <c r="E3" s="43">
        <v>4.1100000000000003</v>
      </c>
      <c r="F3" s="43" t="s">
        <v>57</v>
      </c>
    </row>
    <row r="4" spans="1:6" s="37" customFormat="1" ht="34.5" customHeight="1" x14ac:dyDescent="0.25">
      <c r="E4" s="41">
        <v>4.0999999999999996</v>
      </c>
      <c r="F4" s="44" t="s">
        <v>56</v>
      </c>
    </row>
    <row r="5" spans="1:6" s="37" customFormat="1" ht="27.75" customHeight="1" x14ac:dyDescent="0.25">
      <c r="E5" s="42">
        <v>4.01</v>
      </c>
      <c r="F5" s="44" t="s">
        <v>55</v>
      </c>
    </row>
    <row r="6" spans="1:6" x14ac:dyDescent="0.25">
      <c r="B6" s="37"/>
      <c r="E6" s="42">
        <v>4</v>
      </c>
      <c r="F6" s="42" t="s">
        <v>53</v>
      </c>
    </row>
    <row r="7" spans="1:6" x14ac:dyDescent="0.25">
      <c r="B7" s="37"/>
    </row>
    <row r="8" spans="1:6" x14ac:dyDescent="0.25">
      <c r="C8" s="38"/>
    </row>
    <row r="9" spans="1:6" x14ac:dyDescent="0.25">
      <c r="C9" s="38"/>
      <c r="E9" s="39" t="s">
        <v>54</v>
      </c>
    </row>
    <row r="10" spans="1:6" x14ac:dyDescent="0.25">
      <c r="C10" s="38"/>
    </row>
    <row r="12" spans="1:6" x14ac:dyDescent="0.25">
      <c r="B12" s="38"/>
    </row>
    <row r="13" spans="1:6" x14ac:dyDescent="0.25">
      <c r="B13" s="40"/>
    </row>
    <row r="14" spans="1:6" x14ac:dyDescent="0.25">
      <c r="B14" s="38"/>
    </row>
  </sheetData>
  <mergeCells count="1">
    <mergeCell ref="E1:F1"/>
  </mergeCells>
  <hyperlinks>
    <hyperlink ref="E9" r:id="rId1" xr:uid="{00000000-0004-0000-0700-000000000000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7" baseType="lpstr">
      <vt:lpstr>Contact_Analysis_Form</vt:lpstr>
      <vt:lpstr>summary_doc~12345</vt:lpstr>
      <vt:lpstr>summary_doc~12345A00</vt:lpstr>
      <vt:lpstr>targets</vt:lpstr>
      <vt:lpstr>VersionCheck</vt:lpstr>
      <vt:lpstr>DoC</vt:lpstr>
      <vt:lpstr>Torque</vt:lpstr>
      <vt:lpstr>ROP</vt:lpstr>
      <vt:lpstr>AverageROP</vt:lpstr>
      <vt:lpstr>AverageWOB</vt:lpstr>
      <vt:lpstr>Bend</vt:lpstr>
      <vt:lpstr>BitSize</vt:lpstr>
      <vt:lpstr>BitType</vt:lpstr>
      <vt:lpstr>BOM</vt:lpstr>
      <vt:lpstr>BottomHolePressure</vt:lpstr>
      <vt:lpstr>Depth</vt:lpstr>
      <vt:lpstr>Dir5D</vt:lpstr>
      <vt:lpstr>Dir8D</vt:lpstr>
      <vt:lpstr>DLS</vt:lpstr>
      <vt:lpstr>DoC</vt:lpstr>
      <vt:lpstr>DOC5d</vt:lpstr>
      <vt:lpstr>DOC8d</vt:lpstr>
      <vt:lpstr>DOCMax</vt:lpstr>
      <vt:lpstr>DOCMin</vt:lpstr>
      <vt:lpstr>Info</vt:lpstr>
      <vt:lpstr>LatestVersion</vt:lpstr>
      <vt:lpstr>MaxDOC5Dig</vt:lpstr>
      <vt:lpstr>MaxDOC8Dig</vt:lpstr>
      <vt:lpstr>MaximumROP</vt:lpstr>
      <vt:lpstr>MaxROP5Dig</vt:lpstr>
      <vt:lpstr>MaxROP8Dig</vt:lpstr>
      <vt:lpstr>MaxTq5Dig</vt:lpstr>
      <vt:lpstr>MaxTq8Dig</vt:lpstr>
      <vt:lpstr>MaxWOB5Dig</vt:lpstr>
      <vt:lpstr>MaxWOB8Dig</vt:lpstr>
      <vt:lpstr>MudWeight</vt:lpstr>
      <vt:lpstr>Name5d</vt:lpstr>
      <vt:lpstr>Name8d</vt:lpstr>
      <vt:lpstr>Contact_Analysis_Form!Print_Area</vt:lpstr>
      <vt:lpstr>RockAnalyzed</vt:lpstr>
      <vt:lpstr>RockType</vt:lpstr>
      <vt:lpstr>ROP5d</vt:lpstr>
      <vt:lpstr>ROP8d</vt:lpstr>
      <vt:lpstr>ROPMax</vt:lpstr>
      <vt:lpstr>ROPMin</vt:lpstr>
      <vt:lpstr>RPM</vt:lpstr>
      <vt:lpstr>RPM5d</vt:lpstr>
      <vt:lpstr>RPM8d</vt:lpstr>
      <vt:lpstr>ThisVersion</vt:lpstr>
      <vt:lpstr>TQ5d</vt:lpstr>
      <vt:lpstr>TQ8d</vt:lpstr>
      <vt:lpstr>TQMax</vt:lpstr>
      <vt:lpstr>TQMin</vt:lpstr>
      <vt:lpstr>WOB5d</vt:lpstr>
      <vt:lpstr>WOB8d</vt:lpstr>
      <vt:lpstr>WOBMax</vt:lpstr>
      <vt:lpstr>WOBMin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Barr</dc:creator>
  <cp:lastModifiedBy>Alex Barr</cp:lastModifiedBy>
  <dcterms:created xsi:type="dcterms:W3CDTF">2011-08-22T20:27:56Z</dcterms:created>
  <dcterms:modified xsi:type="dcterms:W3CDTF">2019-02-12T15:58:15Z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ABarr@slb.com</vt:lpwstr>
  </property>
  <property fmtid="{D5CDD505-2E9C-101B-9397-08002B2CF9AE}" pid="5" name="MSIP_Label_585f1f62-8d2b-4457-869c-0a13c6549635_SetDate">
    <vt:lpwstr>2019-02-12T15:58:11.4344182Z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Extended_MSFT_Method">
    <vt:lpwstr>Automatic</vt:lpwstr>
  </property>
  <property fmtid="{D5CDD505-2E9C-101B-9397-08002B2CF9AE}" pid="9" name="MSIP_Label_8bb759f6-5337-4dc5-b19b-e74b6da11f8f_Enabled">
    <vt:lpwstr>True</vt:lpwstr>
  </property>
  <property fmtid="{D5CDD505-2E9C-101B-9397-08002B2CF9AE}" pid="10" name="MSIP_Label_8bb759f6-5337-4dc5-b19b-e74b6da11f8f_SiteId">
    <vt:lpwstr>41ff26dc-250f-4b13-8981-739be8610c21</vt:lpwstr>
  </property>
  <property fmtid="{D5CDD505-2E9C-101B-9397-08002B2CF9AE}" pid="11" name="MSIP_Label_8bb759f6-5337-4dc5-b19b-e74b6da11f8f_Owner">
    <vt:lpwstr>ABarr@slb.com</vt:lpwstr>
  </property>
  <property fmtid="{D5CDD505-2E9C-101B-9397-08002B2CF9AE}" pid="12" name="MSIP_Label_8bb759f6-5337-4dc5-b19b-e74b6da11f8f_SetDate">
    <vt:lpwstr>2019-02-12T15:58:11.4344182Z</vt:lpwstr>
  </property>
  <property fmtid="{D5CDD505-2E9C-101B-9397-08002B2CF9AE}" pid="13" name="MSIP_Label_8bb759f6-5337-4dc5-b19b-e74b6da11f8f_Name">
    <vt:lpwstr>Internal</vt:lpwstr>
  </property>
  <property fmtid="{D5CDD505-2E9C-101B-9397-08002B2CF9AE}" pid="14" name="MSIP_Label_8bb759f6-5337-4dc5-b19b-e74b6da11f8f_Application">
    <vt:lpwstr>Microsoft Azure Information Protection</vt:lpwstr>
  </property>
  <property fmtid="{D5CDD505-2E9C-101B-9397-08002B2CF9AE}" pid="15" name="MSIP_Label_8bb759f6-5337-4dc5-b19b-e74b6da11f8f_Parent">
    <vt:lpwstr>585f1f62-8d2b-4457-869c-0a13c6549635</vt:lpwstr>
  </property>
  <property fmtid="{D5CDD505-2E9C-101B-9397-08002B2CF9AE}" pid="16" name="MSIP_Label_8bb759f6-5337-4dc5-b19b-e74b6da11f8f_Extended_MSFT_Method">
    <vt:lpwstr>Automatic</vt:lpwstr>
  </property>
  <property fmtid="{D5CDD505-2E9C-101B-9397-08002B2CF9AE}" pid="17" name="Sensitivity">
    <vt:lpwstr>Private Internal</vt:lpwstr>
  </property>
</Properties>
</file>